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mbers &amp; Roles + Objectives + " sheetId="1" r:id="rId4"/>
    <sheet state="visible" name="Gantt" sheetId="2" r:id="rId5"/>
    <sheet state="visible" name="Status" sheetId="3" r:id="rId6"/>
    <sheet state="visible" name="Risks" sheetId="4" r:id="rId7"/>
  </sheets>
  <definedNames/>
  <calcPr/>
  <extLst>
    <ext uri="GoogleSheetsCustomDataVersion2">
      <go:sheetsCustomData xmlns:go="http://customooxmlschemas.google.com/" r:id="rId8" roundtripDataChecksum="Dtp9AwBKjaO/T5tHPJez/zFdzEO2C2iMJ2Oz4a9CuBU="/>
    </ext>
  </extLst>
</workbook>
</file>

<file path=xl/sharedStrings.xml><?xml version="1.0" encoding="utf-8"?>
<sst xmlns="http://schemas.openxmlformats.org/spreadsheetml/2006/main" count="507" uniqueCount="343">
  <si>
    <t>Project  — ALS1</t>
  </si>
  <si>
    <t>Team: Ferran · Luz · Noa · Leyre      |      Course: Introduction to Bioinformatics 2026–2027</t>
  </si>
  <si>
    <t>Molecular Analysis of SOD1 Gene Mutations in Amyotrophic Lateral Sclerosis 1 (ALS1)</t>
  </si>
  <si>
    <t>Project Name:</t>
  </si>
  <si>
    <t>General Objective: explain the impact of changes in genetic and protein sequences on the</t>
  </si>
  <si>
    <t>Gantt chart — ALS1</t>
  </si>
  <si>
    <t>Project Status — ALS1</t>
  </si>
  <si>
    <t>Team: Ferran · Luz · Noa · Leyre      |      Course: Introduction to Bioinformatics 2026–2027      |      Live version</t>
  </si>
  <si>
    <t>Updated up to:</t>
  </si>
  <si>
    <t>Risk management — ALS1</t>
  </si>
  <si>
    <t>Progress (subtasks completed):</t>
  </si>
  <si>
    <t>Predecessors are finish-to-start unless marked (SS) = start-to-start (can start once the predecessor has started).</t>
  </si>
  <si>
    <t>ID</t>
  </si>
  <si>
    <t>Task</t>
  </si>
  <si>
    <t>Owner</t>
  </si>
  <si>
    <t>Output</t>
  </si>
  <si>
    <t>Accomplished when</t>
  </si>
  <si>
    <t>Predecessor</t>
  </si>
  <si>
    <t>Plan. start</t>
  </si>
  <si>
    <t>Plan. finish</t>
  </si>
  <si>
    <t>Duration (working days)</t>
  </si>
  <si>
    <t>Real start</t>
  </si>
  <si>
    <t>Real finish</t>
  </si>
  <si>
    <t>Status</t>
  </si>
  <si>
    <t>Notes</t>
  </si>
  <si>
    <t>1</t>
  </si>
  <si>
    <t>Project management &amp; setup</t>
  </si>
  <si>
    <t>Risk</t>
  </si>
  <si>
    <t>Status updated up to:</t>
  </si>
  <si>
    <t>Type</t>
  </si>
  <si>
    <t>L</t>
  </si>
  <si>
    <t>I</t>
  </si>
  <si>
    <t>S</t>
  </si>
  <si>
    <t>Category</t>
  </si>
  <si>
    <t>We have realized because…</t>
  </si>
  <si>
    <t>Contingency plan</t>
  </si>
  <si>
    <t>Related task</t>
  </si>
  <si>
    <t>R1</t>
  </si>
  <si>
    <t>Using terms we don't understand or including GenAI errors or hallucinations</t>
  </si>
  <si>
    <t>Scientific</t>
  </si>
  <si>
    <t>Plan. end</t>
  </si>
  <si>
    <t>Real end</t>
  </si>
  <si>
    <t>Days</t>
  </si>
  <si>
    <t>September 2026</t>
  </si>
  <si>
    <t>SOD1 literature uses highly specialised terminology and the IB GenAI policy makes us liable for any GenAI-generated content.</t>
  </si>
  <si>
    <t>Each section is cross-read by the other members, who must be able to understand and explain it. GenAI is only used for wording and formatting, outside GitHub, and its output is always checked manually.</t>
  </si>
  <si>
    <t>3.4.3</t>
  </si>
  <si>
    <t>Luz</t>
  </si>
  <si>
    <t>Open</t>
  </si>
  <si>
    <t>R2</t>
  </si>
  <si>
    <t>Tight schedule: deadline</t>
  </si>
  <si>
    <t>October 2026</t>
  </si>
  <si>
    <t>Team &amp; planning</t>
  </si>
  <si>
    <t>1.1</t>
  </si>
  <si>
    <t>The final deadline on Moodle is Monday 26/10 at 22:00, and only two working days remain after the 22/10 retrospective.</t>
  </si>
  <si>
    <t>Content freeze on 21/10; 22–23/10 for integration and review only; 26/10 kept exclusively as a buffer.</t>
  </si>
  <si>
    <t>1.4.1</t>
  </si>
  <si>
    <t>Ferran</t>
  </si>
  <si>
    <t>GitHub environment setup</t>
  </si>
  <si>
    <t>R3</t>
  </si>
  <si>
    <t>Uneven contribution</t>
  </si>
  <si>
    <t>November 2026</t>
  </si>
  <si>
    <t>Our first Gantt draft assigned several tasks to "All"</t>
  </si>
  <si>
    <t>Every task has a single owner and a balanced workload; each member commits their own work at least twice a week. Tasks are reassigned early if someone falls behind.</t>
  </si>
  <si>
    <t>R4</t>
  </si>
  <si>
    <t>"Niche awareness" at the oral presentation</t>
  </si>
  <si>
    <t>14/09</t>
  </si>
  <si>
    <t>Our analysis tasks are split by specialisation, each owned by a single member, while the rubric assesses every member's understanding of the whole project.</t>
  </si>
  <si>
    <t>Short weekly sync where each member explains their progress to the rest; each section is cross-read by a different member; everyone reads the full report before the presentation; a rehearsal with questions about other members' sections.</t>
  </si>
  <si>
    <t>4.1.1</t>
  </si>
  <si>
    <t>Noa</t>
  </si>
  <si>
    <t>R5</t>
  </si>
  <si>
    <t>Mismatch between different sources leads to wrong positions in alignments and structures</t>
  </si>
  <si>
    <t>21/09</t>
  </si>
  <si>
    <t>The same SOD1 mutation is named A4V in the classic literature but p.Ala5Val in ClinVar.</t>
  </si>
  <si>
    <t>Before any analysis, define a single numbering convention in Methods and build a mapping table between sources.</t>
  </si>
  <si>
    <t>2.1.2</t>
  </si>
  <si>
    <t>Leyre</t>
  </si>
  <si>
    <t>28/09</t>
  </si>
  <si>
    <t>R6</t>
  </si>
  <si>
    <t>Trying to analyse too much information (e.g. too many variants)</t>
  </si>
  <si>
    <t>1.1.1</t>
  </si>
  <si>
    <t>05/10</t>
  </si>
  <si>
    <t>Setting up repository</t>
  </si>
  <si>
    <t>Noa &amp; Ferran</t>
  </si>
  <si>
    <t>ClinVar currently lists 194 SOD1 variants classified as pathogenic or likely pathogenic (consulted 08/10), far more than we can analyse.</t>
  </si>
  <si>
    <t>Shared GitHub repository with folder structure</t>
  </si>
  <si>
    <t>12/10</t>
  </si>
  <si>
    <t>All members are collaborators and can clone, commit and push</t>
  </si>
  <si>
    <t>Select 2–3 representative variants using explicit criteria by a fixed date (14/10); anything outside that scope is left for the Discussion as future work.</t>
  </si>
  <si>
    <t>R7</t>
  </si>
  <si>
    <t>Format errors in the submissions</t>
  </si>
  <si>
    <t>Technical &amp; format</t>
  </si>
  <si>
    <t>19/10</t>
  </si>
  <si>
    <t>Completed</t>
  </si>
  <si>
    <t>26/10</t>
  </si>
  <si>
    <t>Repository created and folders added on 17/09</t>
  </si>
  <si>
    <t>The Formal Requirements and the BMC template impose many formal rules.</t>
  </si>
  <si>
    <t>Build a checklist from the Formal Requirements and the BMC template (repo name, mandatory folders, .md report, word limits…) and review it before each delivery. Agree an approximate word budget per section from the start. Check the word count on 21/10.</t>
  </si>
  <si>
    <t>3.4.5</t>
  </si>
  <si>
    <t>1.1.2</t>
  </si>
  <si>
    <t>Repository update to Formal Requirements (name, report/, references/, README)</t>
  </si>
  <si>
    <t>02/11</t>
  </si>
  <si>
    <t>Repository compliant with Formal Requirements</t>
  </si>
  <si>
    <t>R8</t>
  </si>
  <si>
    <t>Technical problems with Git files or GitHub</t>
  </si>
  <si>
    <t>Repo named NFL_ALS1_IB_2026; report/, status/, gantt/, references/ exist; README lists members, roles and structure</t>
  </si>
  <si>
    <t>Pending</t>
  </si>
  <si>
    <t>Remove unrelated entries (TTR, serum albumin) from the bibliography file</t>
  </si>
  <si>
    <t>Several attempts to fix the folder structure.</t>
  </si>
  <si>
    <t>Small and frequent commits. Upload deliverables at least 2 h before the deadline.</t>
  </si>
  <si>
    <t>1.2</t>
  </si>
  <si>
    <t>Project planning</t>
  </si>
  <si>
    <t>R9</t>
  </si>
  <si>
    <t>Gantt and Status not kept up to date</t>
  </si>
  <si>
    <t>Our first versions of the Gantt and of the Project Status had empty fields and outdated dates.</t>
  </si>
  <si>
    <t>One owner updates the Project Status and the live Gantt every Monday and Thursday with real dates, status and notes; each member reports their progress at each meeting.</t>
  </si>
  <si>
    <t>R10</t>
  </si>
  <si>
    <t>Distant species make the comparison hard to interpret</t>
  </si>
  <si>
    <t>1.2.1</t>
  </si>
  <si>
    <t>The project requires comparing human SOD1 with at least two other species, and the candidates range from close mammals to very distant organisms with much less similar sequences.</t>
  </si>
  <si>
    <t>Gantt chart (Excel)</t>
  </si>
  <si>
    <t>Choose species with a clear biological or experimental justification. If the distant species alignment is not informative, replace it with an intermediate one and explain the choice in Methods.</t>
  </si>
  <si>
    <t>All</t>
  </si>
  <si>
    <t>2.2.1</t>
  </si>
  <si>
    <t>Gantt chart, task details and milestones</t>
  </si>
  <si>
    <t>All tasks have owner, output, duration, predecessor and completion criteria</t>
  </si>
  <si>
    <t>R11</t>
  </si>
  <si>
    <t>Online tools unavailable or slow close to the deadline</t>
  </si>
  <si>
    <t>In progress</t>
  </si>
  <si>
    <t>First Excel version committed on 29/09</t>
  </si>
  <si>
    <t>1.2.2</t>
  </si>
  <si>
    <t>Risk assessment</t>
  </si>
  <si>
    <t>The tools we need (BLAST, multiple sequence alignment servers) are shared public services with job queues, used by all groups in the same weeks.</t>
  </si>
  <si>
    <t>Run all analyses early, well before the content freeze; save every output (files + screenshots, with date and tool version).</t>
  </si>
  <si>
    <t>2.2.2</t>
  </si>
  <si>
    <t>Risk register and contingency plans</t>
  </si>
  <si>
    <t>Each risk has score, category, contingency plan and owner; mandatory risk sentence written</t>
  </si>
  <si>
    <t>1.2.1 (SS)</t>
  </si>
  <si>
    <t>1.2.3</t>
  </si>
  <si>
    <t>Gantt v1 export to PDF, Moodle submission and freeze in repo</t>
  </si>
  <si>
    <t>Gantt v1 PDF on Moodle and in gantt/</t>
  </si>
  <si>
    <t>PDF uploaded before 20:00 on 09/10 and committed to gantt/</t>
  </si>
  <si>
    <t>1.2.1, 1.2.2</t>
  </si>
  <si>
    <t>Moodle deadline 22:00; upload at least 2 h earlier</t>
  </si>
  <si>
    <t>1.3</t>
  </si>
  <si>
    <t>Literature review</t>
  </si>
  <si>
    <t>1.3.1</t>
  </si>
  <si>
    <t>Bibliography selection</t>
  </si>
  <si>
    <t>List of relevant sources on ALS1 / SOD1</t>
  </si>
  <si>
    <t>Key reviews and database entries (OMIM, UniProt, ClinVar, PDB) identified</t>
  </si>
  <si>
    <t>Every member searches sources</t>
  </si>
  <si>
    <t>1.3.2</t>
  </si>
  <si>
    <t>Extraction of information and storage of sources</t>
  </si>
  <si>
    <t>Notes per topic; source PDFs in references/</t>
  </si>
  <si>
    <t>Each used source is stored in references/ (PDF preferred)</t>
  </si>
  <si>
    <t>1.3.3</t>
  </si>
  <si>
    <t>In-text citations and reference list (Oxford SCIMED)</t>
  </si>
  <si>
    <t>Citations in report.md and reference list</t>
  </si>
  <si>
    <t>Every statement taken from a source is cited in Oxford SCIMED style</t>
  </si>
  <si>
    <t>Done while writing each section</t>
  </si>
  <si>
    <t>1.4</t>
  </si>
  <si>
    <t>Project monitoring</t>
  </si>
  <si>
    <t>Project Status and live Gantt updates (Mon &amp; Thu)</t>
  </si>
  <si>
    <t>Updated Status sheet, live Gantt and status/project_status.md</t>
  </si>
  <si>
    <t>Real dates, status and notes updated every Monday and Thursday</t>
  </si>
  <si>
    <t>Final Gantt must reflect real progress on 26/10</t>
  </si>
  <si>
    <t>1.4.2</t>
  </si>
  <si>
    <t>Risk monitoring</t>
  </si>
  <si>
    <t>Updated risk register</t>
  </si>
  <si>
    <t>Score and status of each risk reviewed every week; activated contingencies recorded</t>
  </si>
  <si>
    <t>1.4.3</t>
  </si>
  <si>
    <t>Retrospective preparation</t>
  </si>
  <si>
    <t>Status summary for the 22/10 retrospective</t>
  </si>
  <si>
    <t>Delays, incidents and decisions documented in Notes</t>
  </si>
  <si>
    <t>1.4.1 (SS)</t>
  </si>
  <si>
    <t>2</t>
  </si>
  <si>
    <t>Bioinformatic analysis</t>
  </si>
  <si>
    <t>2.1</t>
  </si>
  <si>
    <t>Sequence, mutation and structure analysis</t>
  </si>
  <si>
    <t>2.1.1</t>
  </si>
  <si>
    <t>Disease cause at gene, protein, structure and function level</t>
  </si>
  <si>
    <t>Summary of SOD1 gene, protein, structure and function in ALS1</t>
  </si>
  <si>
    <t>Cause of ALS1 explained at the four levels with sources</t>
  </si>
  <si>
    <t>Variant selection and numbering mapping table</t>
  </si>
  <si>
    <t>2–3 selected variants + legacy ↔ HGVS mapping table</t>
  </si>
  <si>
    <t>Variants chosen with explicit criteria (ClinVar classification, literature, structure availability); one numbering convention fixed</t>
  </si>
  <si>
    <t>Contingency for risks 'too much information' and 'source mismatch'</t>
  </si>
  <si>
    <t>2.1.3</t>
  </si>
  <si>
    <t>Wild-type vs mutant sequence alignment</t>
  </si>
  <si>
    <t>Pairwise alignments and interpretation</t>
  </si>
  <si>
    <t>Each selected variant located and described in the alignment</t>
  </si>
  <si>
    <t>2.1.4</t>
  </si>
  <si>
    <t>Mapping of variants onto the 3D structure</t>
  </si>
  <si>
    <t>Structure figures with mutated residues highlighted</t>
  </si>
  <si>
    <t>Each variant mapped onto the SOD1 structure (PDB) with its structural context</t>
  </si>
  <si>
    <t>2.2</t>
  </si>
  <si>
    <t>Evolutionary conservation</t>
  </si>
  <si>
    <t>Species selection (≥ 2) and ortholog retrieval</t>
  </si>
  <si>
    <t>Justified species list and SOD1 ortholog sequences</t>
  </si>
  <si>
    <t>At least 2 species selected and justified; orthologs (not paralogs) retrieved</t>
  </si>
  <si>
    <t>Bos taurus proposed: check its SOD1 UniProt entry (current link O46375 seems to be TTR)</t>
  </si>
  <si>
    <t>Multiple sequence alignment and conservation of mutated residues</t>
  </si>
  <si>
    <t>MSA and conservation analysis</t>
  </si>
  <si>
    <t>Conservation of each selected residue described across species</t>
  </si>
  <si>
    <t>2.1.2, 2.2.1</t>
  </si>
  <si>
    <t>2.2.3</t>
  </si>
  <si>
    <t>Selective pressure in evolution</t>
  </si>
  <si>
    <t>Interpretation of evolutionary constraint</t>
  </si>
  <si>
    <t>Biological implication of conservation explained</t>
  </si>
  <si>
    <t>2.3</t>
  </si>
  <si>
    <t>Structure–function impact</t>
  </si>
  <si>
    <t>2.3.1</t>
  </si>
  <si>
    <t>Healthy vs disease differences at gene, protein, structure and function level</t>
  </si>
  <si>
    <t>Comparison table healthy vs disease</t>
  </si>
  <si>
    <t>Differences described at the four levels for each variant</t>
  </si>
  <si>
    <t>2.1.1, 2.1.3, 2.1.4</t>
  </si>
  <si>
    <t>2.3.2</t>
  </si>
  <si>
    <t>Impact on patient function</t>
  </si>
  <si>
    <t>Explanation of the physiological consequences</t>
  </si>
  <si>
    <t>Link between molecular change and clinical phenotype explained with sources</t>
  </si>
  <si>
    <t>3</t>
  </si>
  <si>
    <t>Report writing (BMC Bioinformatics format)</t>
  </si>
  <si>
    <t>3.1</t>
  </si>
  <si>
    <t>Background and Methods</t>
  </si>
  <si>
    <t>3.1.1</t>
  </si>
  <si>
    <t>Report skeleton (BMC sections) and figure plan</t>
  </si>
  <si>
    <t>report/report.md skeleton and list of max. 5 figures/tables</t>
  </si>
  <si>
    <t>All BMC sections present with owner and word budget</t>
  </si>
  <si>
    <t>3.1.2</t>
  </si>
  <si>
    <t>Background</t>
  </si>
  <si>
    <t>Background section</t>
  </si>
  <si>
    <t>Disease context, aims and research gap written and cited</t>
  </si>
  <si>
    <t>2.1.1, 3.1.1</t>
  </si>
  <si>
    <t>3.1.3</t>
  </si>
  <si>
    <t>Methods</t>
  </si>
  <si>
    <t>Methods section</t>
  </si>
  <si>
    <t>Data sources, tools, versions and numbering convention described for reproducibility</t>
  </si>
  <si>
    <t>2.1.3, 2.1.4, 2.2.2</t>
  </si>
  <si>
    <t>3.2</t>
  </si>
  <si>
    <t>Results</t>
  </si>
  <si>
    <t>3.2.1</t>
  </si>
  <si>
    <t>Mutant sequence findings</t>
  </si>
  <si>
    <t>Results subsection</t>
  </si>
  <si>
    <t>Sequence findings written with figures/tables referenced</t>
  </si>
  <si>
    <t>3.2.2</t>
  </si>
  <si>
    <t>Evolutionary findings</t>
  </si>
  <si>
    <t>Conservation findings written with figures/tables referenced</t>
  </si>
  <si>
    <t>3.2.3</t>
  </si>
  <si>
    <t>Structure and functional impact findings</t>
  </si>
  <si>
    <t>Structural findings written with figures/tables referenced</t>
  </si>
  <si>
    <t>3.3</t>
  </si>
  <si>
    <t>Discussion and Conclusions</t>
  </si>
  <si>
    <t>3.3.1</t>
  </si>
  <si>
    <t>Results interpretation</t>
  </si>
  <si>
    <t>Discussion subsection</t>
  </si>
  <si>
    <t>Findings compared with literature; limitations stated</t>
  </si>
  <si>
    <t>3.2.1, 3.2.2, 3.2.3</t>
  </si>
  <si>
    <t>3.3.2</t>
  </si>
  <si>
    <t>Correlation with the disease</t>
  </si>
  <si>
    <t>Molecular findings linked to the ALS1 phenotype</t>
  </si>
  <si>
    <t>2.3.2, 3.2.1, 3.2.2, 3.2.3</t>
  </si>
  <si>
    <t>3.3.3</t>
  </si>
  <si>
    <t>Conclusions</t>
  </si>
  <si>
    <t>Conclusions section</t>
  </si>
  <si>
    <t>Main conclusions answer the project question</t>
  </si>
  <si>
    <t>3.3.1, 3.3.2</t>
  </si>
  <si>
    <t>Synthesis only: no new analyses after the 21/10 content freeze</t>
  </si>
  <si>
    <t>3.4</t>
  </si>
  <si>
    <t>Integration and final review</t>
  </si>
  <si>
    <t>3.4.1</t>
  </si>
  <si>
    <t>Word-count and figure-limit check</t>
  </si>
  <si>
    <t>Checked draft</t>
  </si>
  <si>
    <t>≤ 5000 words / 7 pages and ≤ 5 figures/tables</t>
  </si>
  <si>
    <t>Contingency of the format risk (check on 21/10)</t>
  </si>
  <si>
    <t>3.4.2</t>
  </si>
  <si>
    <t>Integration of sections, Abstract and Keywords</t>
  </si>
  <si>
    <t>Complete integrated report.md</t>
  </si>
  <si>
    <t>Sections connected; structured Abstract ≤ 350 words; 5 keywords</t>
  </si>
  <si>
    <t>3.1.3, 3.3.1, 3.3.2, 3.4.1</t>
  </si>
  <si>
    <t>Reference and citation check</t>
  </si>
  <si>
    <t>Verified reference list</t>
  </si>
  <si>
    <t>All citations match the list and the PDFs in references/</t>
  </si>
  <si>
    <t>1.3.3, 3.4.2</t>
  </si>
  <si>
    <t>3.4.4</t>
  </si>
  <si>
    <t>Grammar and style check</t>
  </si>
  <si>
    <t>Proofread report</t>
  </si>
  <si>
    <t>UK spelling (-ize), Oxford comma and number style applied</t>
  </si>
  <si>
    <t>Rubric and delivery checklist, Authors' contributions</t>
  </si>
  <si>
    <t>Completed checklist and Declarations</t>
  </si>
  <si>
    <t>All Formal Requirements and rubric items checked; contributions stated</t>
  </si>
  <si>
    <t>3.3.3, 3.4.2</t>
  </si>
  <si>
    <t>26/10 kept as buffer only (no new tasks)</t>
  </si>
  <si>
    <t>4</t>
  </si>
  <si>
    <t>Oral presentation</t>
  </si>
  <si>
    <t>4.1</t>
  </si>
  <si>
    <t>Presentation preparation</t>
  </si>
  <si>
    <t>Slide structure and template</t>
  </si>
  <si>
    <t>Slide template and outline</t>
  </si>
  <si>
    <t>Outline agreed by the team</t>
  </si>
  <si>
    <t>After final delivery; nothing committed after 26/10 22:00</t>
  </si>
  <si>
    <t>4.1.2</t>
  </si>
  <si>
    <t>Slides for own section</t>
  </si>
  <si>
    <t>Complete slide deck</t>
  </si>
  <si>
    <t>Each member's slides added to the deck</t>
  </si>
  <si>
    <t>Each member prepares the part they present</t>
  </si>
  <si>
    <t>4.1.3</t>
  </si>
  <si>
    <t>Cross-explanation session</t>
  </si>
  <si>
    <t>Shared understanding of all sections</t>
  </si>
  <si>
    <t>Each member can explain every section (risk: niche awareness)</t>
  </si>
  <si>
    <t>4.1.4</t>
  </si>
  <si>
    <t>Rehearsal with questions</t>
  </si>
  <si>
    <t>Rehearsed presentation</t>
  </si>
  <si>
    <t>Full run within time; questions on other members' sections answered</t>
  </si>
  <si>
    <t>M</t>
  </si>
  <si>
    <t>Milestones</t>
  </si>
  <si>
    <t>M1</t>
  </si>
  <si>
    <t>Gantt v1 delivered (Moodle, 22:00)</t>
  </si>
  <si>
    <t>—</t>
  </si>
  <si>
    <t>M2</t>
  </si>
  <si>
    <t>Variants and species selected</t>
  </si>
  <si>
    <t>M3</t>
  </si>
  <si>
    <t>Analyses completed</t>
  </si>
  <si>
    <t>2.2.3, 2.3.2</t>
  </si>
  <si>
    <t>M4</t>
  </si>
  <si>
    <t>Content freeze</t>
  </si>
  <si>
    <t>3.1.3, 3.3.1, 3.3.2</t>
  </si>
  <si>
    <t>M5</t>
  </si>
  <si>
    <t>Status retrospective</t>
  </si>
  <si>
    <t>M6</t>
  </si>
  <si>
    <t>Final delivery (GitHub, 22:00)</t>
  </si>
  <si>
    <t>3.4.3, 3.4.4, 3.4.5</t>
  </si>
  <si>
    <t>Last commit before 22:00; later commits are discarded</t>
  </si>
  <si>
    <t>M7</t>
  </si>
  <si>
    <t>Legend</t>
  </si>
  <si>
    <t>Completed — Task bar coloured by status (Status sheet)</t>
  </si>
  <si>
    <t>In progress — Task bar coloured by status (Status sheet)</t>
  </si>
  <si>
    <t>Incident — Task bar coloured by status (Status sheet)</t>
  </si>
  <si>
    <t>Pending — Task bar coloured by status (Status sheet)</t>
  </si>
  <si>
    <t>Canceled — Task bar coloured by status (Status sheet)</t>
  </si>
  <si>
    <t>◆ Milestone — Checkpoint without duration</t>
  </si>
  <si>
    <t>Holiday — Bank holiday (24/09 La Mercè, 12/10); weekends are not shown</t>
  </si>
  <si>
    <t xml:space="preserve">Predecessors are finish-to-start unless marked (SS) = start-to-start.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</si>
</sst>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
    <numFmt numFmtId="166" formatCode="dd/mm"/>
  </numFmts>
  <fonts count="19">
    <font>
      <sz val="11.0"/>
      <color theme="1"/>
      <name val="Arial"/>
      <scheme val="minor"/>
    </font>
    <font>
      <b/>
      <sz val="13.0"/>
      <color theme="1"/>
      <name val="Arial"/>
    </font>
    <font>
      <color theme="1"/>
      <name val="Arial"/>
      <scheme val="minor"/>
    </font>
    <font>
      <b/>
      <sz val="14.0"/>
      <color theme="1"/>
      <name val="Arial"/>
    </font>
    <font>
      <sz val="11.0"/>
      <color theme="1"/>
      <name val="Calibri"/>
    </font>
    <font>
      <sz val="10.0"/>
      <color rgb="FF404040"/>
      <name val="Arial"/>
    </font>
    <font>
      <b/>
      <sz val="10.0"/>
      <color theme="1"/>
      <name val="Arial"/>
    </font>
    <font>
      <b/>
      <sz val="10.0"/>
      <color rgb="FF0000FF"/>
      <name val="Arial"/>
    </font>
    <font>
      <i/>
      <sz val="10.0"/>
      <color rgb="FF595959"/>
      <name val="Arial"/>
    </font>
    <font>
      <b/>
      <sz val="10.0"/>
      <color rgb="FFFFFFFF"/>
      <name val="Arial"/>
    </font>
    <font>
      <b/>
      <sz val="10.0"/>
      <color rgb="FF008000"/>
      <name val="Arial"/>
    </font>
    <font>
      <sz val="10.0"/>
      <color theme="1"/>
      <name val="Arial"/>
    </font>
    <font>
      <sz val="10.0"/>
      <color rgb="FF000000"/>
      <name val="Arial"/>
    </font>
    <font/>
    <font>
      <b/>
      <sz val="8.0"/>
      <color theme="1"/>
      <name val="Arial"/>
    </font>
    <font>
      <color rgb="FF000000"/>
      <name val="Arial"/>
      <scheme val="minor"/>
    </font>
    <font>
      <i/>
      <sz val="10.0"/>
      <color theme="1"/>
      <name val="Arial"/>
    </font>
    <font>
      <b/>
      <sz val="10.0"/>
      <color rgb="FFC00000"/>
      <name val="Arial"/>
    </font>
    <font>
      <sz val="9.0"/>
      <color theme="1"/>
      <name val="Arial"/>
    </font>
  </fonts>
  <fills count="13">
    <fill>
      <patternFill patternType="none"/>
    </fill>
    <fill>
      <patternFill patternType="lightGray"/>
    </fill>
    <fill>
      <patternFill patternType="solid">
        <fgColor rgb="FF1F3864"/>
        <bgColor rgb="FF1F3864"/>
      </patternFill>
    </fill>
    <fill>
      <patternFill patternType="solid">
        <fgColor rgb="FFD9D9D9"/>
        <bgColor rgb="FFD9D9D9"/>
      </patternFill>
    </fill>
    <fill>
      <patternFill patternType="solid">
        <fgColor rgb="FFF2F2F2"/>
        <bgColor rgb="FFF2F2F2"/>
      </patternFill>
    </fill>
    <fill>
      <patternFill patternType="solid">
        <fgColor rgb="FFD6DCE4"/>
        <bgColor rgb="FFD6DCE4"/>
      </patternFill>
    </fill>
    <fill>
      <patternFill patternType="solid">
        <fgColor rgb="FFFCE4D6"/>
        <bgColor rgb="FFFCE4D6"/>
      </patternFill>
    </fill>
    <fill>
      <patternFill patternType="solid">
        <fgColor rgb="FFA9D08E"/>
        <bgColor rgb="FFA9D08E"/>
      </patternFill>
    </fill>
    <fill>
      <patternFill patternType="solid">
        <fgColor rgb="FFFFD966"/>
        <bgColor rgb="FFFFD966"/>
      </patternFill>
    </fill>
    <fill>
      <patternFill patternType="solid">
        <fgColor rgb="FFF4B183"/>
        <bgColor rgb="FFF4B183"/>
      </patternFill>
    </fill>
    <fill>
      <patternFill patternType="solid">
        <fgColor rgb="FF9DC3E6"/>
        <bgColor rgb="FF9DC3E6"/>
      </patternFill>
    </fill>
    <fill>
      <patternFill patternType="solid">
        <fgColor rgb="FF808080"/>
        <bgColor rgb="FF808080"/>
      </patternFill>
    </fill>
    <fill>
      <patternFill patternType="solid">
        <fgColor rgb="FFBFBFBF"/>
        <bgColor rgb="FFBFBFBF"/>
      </patternFill>
    </fill>
  </fills>
  <borders count="9">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top/>
      <bottom/>
    </border>
    <border>
      <top/>
      <bottom/>
    </border>
    <border>
      <right/>
      <top/>
      <bottom/>
    </border>
    <border>
      <left style="thin">
        <color rgb="FFBFBFBF"/>
      </left>
      <right style="thin">
        <color rgb="FFBFBFBF"/>
      </right>
    </border>
    <border>
      <left style="thin">
        <color rgb="FFBFBFBF"/>
      </left>
      <right style="thin">
        <color rgb="FFBFBFBF"/>
      </right>
      <bottom style="thin">
        <color rgb="FFBFBFBF"/>
      </bottom>
    </border>
    <border>
      <left style="hair">
        <color rgb="FFD9D9D9"/>
      </left>
      <right style="hair">
        <color rgb="FFD9D9D9"/>
      </right>
      <top style="thin">
        <color rgb="FFBFBFBF"/>
      </top>
      <bottom style="thin">
        <color rgb="FFBFBFBF"/>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readingOrder="0"/>
    </xf>
    <xf borderId="0" fillId="0" fontId="3" numFmtId="0" xfId="0" applyAlignment="1" applyFont="1">
      <alignment readingOrder="0" vertical="center"/>
    </xf>
    <xf borderId="0" fillId="0" fontId="4" numFmtId="0" xfId="0" applyAlignment="1" applyFont="1">
      <alignment vertical="center"/>
    </xf>
    <xf borderId="0" fillId="0" fontId="5" numFmtId="0" xfId="0" applyAlignment="1" applyFont="1">
      <alignment readingOrder="0" vertical="center"/>
    </xf>
    <xf borderId="0" fillId="0" fontId="6" numFmtId="0" xfId="0" applyAlignment="1" applyFont="1">
      <alignment horizontal="right" vertical="center"/>
    </xf>
    <xf borderId="0" fillId="0" fontId="7" numFmtId="14" xfId="0" applyAlignment="1" applyFont="1" applyNumberFormat="1">
      <alignment vertical="center"/>
    </xf>
    <xf borderId="0" fillId="0" fontId="8" numFmtId="0" xfId="0" applyAlignment="1" applyFont="1">
      <alignment horizontal="center" vertical="center"/>
    </xf>
    <xf borderId="0" fillId="0" fontId="6" numFmtId="0" xfId="0" applyAlignment="1" applyFont="1">
      <alignment vertical="center"/>
    </xf>
    <xf borderId="0" fillId="0" fontId="1" numFmtId="0" xfId="0" applyAlignment="1" applyFont="1">
      <alignment vertical="center"/>
    </xf>
    <xf borderId="0" fillId="0" fontId="2" numFmtId="0" xfId="0" applyAlignment="1" applyFont="1">
      <alignment vertical="center"/>
    </xf>
    <xf borderId="1" fillId="2" fontId="9" numFmtId="0" xfId="0" applyAlignment="1" applyBorder="1" applyFill="1" applyFont="1">
      <alignment horizontal="center" shrinkToFit="0" vertical="center" wrapText="1"/>
    </xf>
    <xf borderId="1" fillId="3" fontId="6" numFmtId="0" xfId="0" applyAlignment="1" applyBorder="1" applyFill="1" applyFont="1">
      <alignment horizontal="center" vertical="center"/>
    </xf>
    <xf borderId="1" fillId="3" fontId="6" numFmtId="0" xfId="0" applyAlignment="1" applyBorder="1" applyFill="1" applyFont="1">
      <alignment horizontal="left" shrinkToFit="0" vertical="center" wrapText="1"/>
    </xf>
    <xf borderId="1" fillId="3" fontId="6" numFmtId="0" xfId="0" applyAlignment="1" applyBorder="1" applyFill="1" applyFont="1">
      <alignment horizontal="center" shrinkToFit="0" vertical="center" wrapText="1"/>
    </xf>
    <xf borderId="0" fillId="0" fontId="6" numFmtId="9" xfId="0" applyAlignment="1" applyFont="1" applyNumberFormat="1">
      <alignment vertical="center"/>
    </xf>
    <xf borderId="0" fillId="0" fontId="10" numFmtId="164" xfId="0" applyAlignment="1" applyFont="1" applyNumberFormat="1">
      <alignment vertical="center"/>
    </xf>
    <xf borderId="1" fillId="3" fontId="6" numFmtId="14" xfId="0" applyAlignment="1" applyBorder="1" applyFill="1" applyFont="1" applyNumberFormat="1">
      <alignment horizontal="center" vertical="center"/>
    </xf>
    <xf borderId="1" fillId="0" fontId="11" numFmtId="0" xfId="0" applyAlignment="1" applyBorder="1" applyFont="1">
      <alignment horizontal="center" shrinkToFit="0" vertical="center" wrapText="1"/>
    </xf>
    <xf borderId="1" fillId="0" fontId="11" numFmtId="0" xfId="0" applyAlignment="1" applyBorder="1" applyFont="1">
      <alignment horizontal="left" shrinkToFit="0" vertical="center" wrapText="1"/>
    </xf>
    <xf borderId="2" fillId="2" fontId="9" numFmtId="0" xfId="0" applyAlignment="1" applyBorder="1" applyFill="1" applyFont="1">
      <alignment horizontal="center" shrinkToFit="0" vertical="center" wrapText="1"/>
    </xf>
    <xf borderId="1" fillId="0" fontId="12" numFmtId="0" xfId="0" applyAlignment="1" applyBorder="1" applyFont="1">
      <alignment horizontal="center" shrinkToFit="0" vertical="center" wrapText="1"/>
    </xf>
    <xf borderId="3" fillId="2" fontId="9" numFmtId="0" xfId="0" applyAlignment="1" applyBorder="1" applyFill="1" applyFont="1">
      <alignment horizontal="center" vertical="center"/>
    </xf>
    <xf borderId="1" fillId="0" fontId="11" numFmtId="49" xfId="0" applyAlignment="1" applyBorder="1" applyFont="1" applyNumberFormat="1">
      <alignment horizontal="center" shrinkToFit="0" vertical="center" wrapText="1"/>
    </xf>
    <xf borderId="4" fillId="0" fontId="13" numFmtId="0" xfId="0" applyBorder="1" applyFont="1"/>
    <xf borderId="5" fillId="0" fontId="13" numFmtId="0" xfId="0" applyBorder="1" applyFont="1"/>
    <xf borderId="1" fillId="4" fontId="6" numFmtId="0" xfId="0" applyAlignment="1" applyBorder="1" applyFill="1" applyFont="1">
      <alignment horizontal="center" vertical="center"/>
    </xf>
    <xf borderId="1" fillId="4" fontId="6" numFmtId="0" xfId="0" applyAlignment="1" applyBorder="1" applyFill="1" applyFont="1">
      <alignment horizontal="left" shrinkToFit="0" vertical="center" wrapText="1"/>
    </xf>
    <xf borderId="1" fillId="4" fontId="6" numFmtId="0" xfId="0" applyAlignment="1" applyBorder="1" applyFill="1" applyFont="1">
      <alignment horizontal="center" shrinkToFit="0" vertical="center" wrapText="1"/>
    </xf>
    <xf borderId="6" fillId="0" fontId="13" numFmtId="0" xfId="0" applyBorder="1" applyFont="1"/>
    <xf borderId="1" fillId="4" fontId="6" numFmtId="14" xfId="0" applyAlignment="1" applyBorder="1" applyFill="1" applyFont="1" applyNumberFormat="1">
      <alignment horizontal="center" vertical="center"/>
    </xf>
    <xf borderId="3" fillId="5" fontId="14" numFmtId="0" xfId="0" applyAlignment="1" applyBorder="1" applyFill="1" applyFont="1">
      <alignment horizontal="center" vertical="center"/>
    </xf>
    <xf borderId="1" fillId="0" fontId="11" numFmtId="0" xfId="0" applyAlignment="1" applyBorder="1" applyFont="1">
      <alignment horizontal="center" vertical="center"/>
    </xf>
    <xf borderId="1" fillId="0" fontId="11" numFmtId="14" xfId="0" applyAlignment="1" applyBorder="1" applyFont="1" applyNumberFormat="1">
      <alignment horizontal="center" vertical="center"/>
    </xf>
    <xf borderId="7" fillId="0" fontId="13" numFmtId="0" xfId="0" applyBorder="1" applyFont="1"/>
    <xf borderId="1" fillId="5" fontId="14" numFmtId="165" xfId="0" applyAlignment="1" applyBorder="1" applyFill="1" applyFont="1" applyNumberFormat="1">
      <alignment horizontal="center" vertical="center"/>
    </xf>
    <xf borderId="1" fillId="0" fontId="11" numFmtId="0" xfId="0" applyAlignment="1" applyBorder="1" applyFont="1">
      <alignment horizontal="left" readingOrder="0" shrinkToFit="0" vertical="center" wrapText="1"/>
    </xf>
    <xf borderId="0" fillId="0" fontId="15" numFmtId="0" xfId="0" applyAlignment="1" applyFont="1">
      <alignment vertical="center"/>
    </xf>
    <xf borderId="0" fillId="0" fontId="4" numFmtId="0" xfId="0" applyAlignment="1" applyFont="1">
      <alignment shrinkToFit="0" vertical="center" wrapText="1"/>
    </xf>
    <xf borderId="1" fillId="3" fontId="6" numFmtId="166" xfId="0" applyAlignment="1" applyBorder="1" applyFill="1" applyFont="1" applyNumberFormat="1">
      <alignment horizontal="center" vertical="center"/>
    </xf>
    <xf borderId="8" fillId="3" fontId="4" numFmtId="0" xfId="0" applyAlignment="1" applyBorder="1" applyFill="1" applyFont="1">
      <alignment vertical="center"/>
    </xf>
    <xf borderId="1" fillId="4" fontId="6" numFmtId="166" xfId="0" applyAlignment="1" applyBorder="1" applyFill="1" applyFont="1" applyNumberFormat="1">
      <alignment horizontal="center" vertical="center"/>
    </xf>
    <xf borderId="8" fillId="4" fontId="4" numFmtId="0" xfId="0" applyAlignment="1" applyBorder="1" applyFill="1" applyFont="1">
      <alignment vertical="center"/>
    </xf>
    <xf borderId="1" fillId="0" fontId="11" numFmtId="166" xfId="0" applyAlignment="1" applyBorder="1" applyFont="1" applyNumberFormat="1">
      <alignment horizontal="center" vertical="center"/>
    </xf>
    <xf borderId="8" fillId="0" fontId="4" numFmtId="0" xfId="0" applyAlignment="1" applyBorder="1" applyFont="1">
      <alignment vertical="center"/>
    </xf>
    <xf borderId="1" fillId="6" fontId="16" numFmtId="0" xfId="0" applyAlignment="1" applyBorder="1" applyFill="1" applyFont="1">
      <alignment horizontal="center" vertical="center"/>
    </xf>
    <xf borderId="1" fillId="6" fontId="16" numFmtId="0" xfId="0" applyAlignment="1" applyBorder="1" applyFill="1" applyFont="1">
      <alignment horizontal="left" shrinkToFit="0" vertical="center" wrapText="1"/>
    </xf>
    <xf borderId="1" fillId="6" fontId="16" numFmtId="0" xfId="0" applyAlignment="1" applyBorder="1" applyFill="1" applyFont="1">
      <alignment horizontal="center" shrinkToFit="0" vertical="center" wrapText="1"/>
    </xf>
    <xf borderId="1" fillId="6" fontId="16" numFmtId="14" xfId="0" applyAlignment="1" applyBorder="1" applyFill="1" applyFont="1" applyNumberFormat="1">
      <alignment horizontal="center" vertical="center"/>
    </xf>
    <xf borderId="1" fillId="6" fontId="16" numFmtId="166" xfId="0" applyAlignment="1" applyBorder="1" applyFill="1" applyFont="1" applyNumberFormat="1">
      <alignment horizontal="center" vertical="center"/>
    </xf>
    <xf borderId="8" fillId="0" fontId="17" numFmtId="0" xfId="0" applyAlignment="1" applyBorder="1" applyFont="1">
      <alignment horizontal="center" vertical="center"/>
    </xf>
    <xf borderId="1" fillId="7" fontId="4" numFmtId="0" xfId="0" applyAlignment="1" applyBorder="1" applyFill="1" applyFont="1">
      <alignment vertical="center"/>
    </xf>
    <xf borderId="0" fillId="0" fontId="18" numFmtId="0" xfId="0" applyAlignment="1" applyFont="1">
      <alignment vertical="center"/>
    </xf>
    <xf borderId="1" fillId="8" fontId="4" numFmtId="0" xfId="0" applyAlignment="1" applyBorder="1" applyFill="1" applyFont="1">
      <alignment vertical="center"/>
    </xf>
    <xf borderId="1" fillId="9" fontId="4" numFmtId="0" xfId="0" applyAlignment="1" applyBorder="1" applyFill="1" applyFont="1">
      <alignment vertical="center"/>
    </xf>
    <xf borderId="1" fillId="10" fontId="4" numFmtId="0" xfId="0" applyAlignment="1" applyBorder="1" applyFill="1" applyFont="1">
      <alignment vertical="center"/>
    </xf>
    <xf borderId="1" fillId="11" fontId="4" numFmtId="0" xfId="0" applyAlignment="1" applyBorder="1" applyFill="1" applyFont="1">
      <alignment vertical="center"/>
    </xf>
    <xf borderId="1" fillId="6" fontId="4" numFmtId="0" xfId="0" applyAlignment="1" applyBorder="1" applyFill="1" applyFont="1">
      <alignment vertical="center"/>
    </xf>
    <xf borderId="1" fillId="12" fontId="4" numFmtId="0" xfId="0" applyAlignment="1" applyBorder="1" applyFill="1" applyFont="1">
      <alignment vertical="center"/>
    </xf>
  </cellXfs>
  <cellStyles count="1">
    <cellStyle xfId="0" name="Normal" builtinId="0"/>
  </cellStyles>
  <dxfs count="21">
    <dxf>
      <font/>
      <fill>
        <patternFill patternType="solid">
          <fgColor rgb="FFF4B183"/>
          <bgColor rgb="FFF4B183"/>
        </patternFill>
      </fill>
      <border/>
    </dxf>
    <dxf>
      <font/>
      <fill>
        <patternFill patternType="solid">
          <fgColor rgb="FFFFD966"/>
          <bgColor rgb="FFFFD966"/>
        </patternFill>
      </fill>
      <border/>
    </dxf>
    <dxf>
      <font/>
      <fill>
        <patternFill patternType="solid">
          <fgColor rgb="FFA9D08E"/>
          <bgColor rgb="FFA9D08E"/>
        </patternFill>
      </fill>
      <border/>
    </dxf>
    <dxf>
      <font/>
      <fill>
        <patternFill patternType="solid">
          <fgColor rgb="FFF5C3DA"/>
          <bgColor rgb="FFF5C3DA"/>
        </patternFill>
      </fill>
      <border/>
    </dxf>
    <dxf>
      <font>
        <color rgb="FF000000"/>
      </font>
      <fill>
        <patternFill patternType="solid">
          <fgColor rgb="FFFFFF99"/>
          <bgColor rgb="FFFFFF99"/>
        </patternFill>
      </fill>
      <border/>
    </dxf>
    <dxf>
      <font/>
      <fill>
        <patternFill patternType="solid">
          <fgColor rgb="FF91E3F3"/>
          <bgColor rgb="FF91E3F3"/>
        </patternFill>
      </fill>
      <border/>
    </dxf>
    <dxf>
      <font>
        <color rgb="FF000000"/>
      </font>
      <fill>
        <patternFill patternType="solid">
          <fgColor rgb="FFCEB2F8"/>
          <bgColor rgb="FFCEB2F8"/>
        </patternFill>
      </fill>
      <border/>
    </dxf>
    <dxf>
      <font/>
      <fill>
        <patternFill patternType="solid">
          <fgColor rgb="FFFFFF99"/>
          <bgColor rgb="FFFFFF99"/>
        </patternFill>
      </fill>
      <border/>
    </dxf>
    <dxf>
      <font/>
      <fill>
        <patternFill patternType="solid">
          <fgColor rgb="FFCEB2F8"/>
          <bgColor rgb="FFCEB2F8"/>
        </patternFill>
      </fill>
      <border/>
    </dxf>
    <dxf>
      <font/>
      <fill>
        <patternFill patternType="solid">
          <fgColor rgb="FFFFFFFF"/>
          <bgColor rgb="FFFFFFFF"/>
        </patternFill>
      </fill>
      <border/>
    </dxf>
    <dxf>
      <font>
        <sz val="10.0"/>
        <color rgb="FF000000"/>
        <name val="Arial"/>
      </font>
      <fill>
        <patternFill patternType="solid">
          <fgColor rgb="FFA9D08E"/>
          <bgColor rgb="FFA9D08E"/>
        </patternFill>
      </fill>
      <border/>
    </dxf>
    <dxf>
      <font>
        <sz val="10.0"/>
        <color rgb="FF000000"/>
        <name val="Arial"/>
      </font>
      <fill>
        <patternFill patternType="solid">
          <fgColor rgb="FFFFD966"/>
          <bgColor rgb="FFFFD966"/>
        </patternFill>
      </fill>
      <border/>
    </dxf>
    <dxf>
      <font>
        <sz val="10.0"/>
        <color rgb="FF000000"/>
        <name val="Arial"/>
      </font>
      <fill>
        <patternFill patternType="solid">
          <fgColor rgb="FFF4B183"/>
          <bgColor rgb="FFF4B183"/>
        </patternFill>
      </fill>
      <border/>
    </dxf>
    <dxf>
      <font>
        <sz val="10.0"/>
        <color rgb="FF000000"/>
        <name val="Arial"/>
      </font>
      <fill>
        <patternFill patternType="solid">
          <fgColor rgb="FF9DC3E6"/>
          <bgColor rgb="FF9DC3E6"/>
        </patternFill>
      </fill>
      <border/>
    </dxf>
    <dxf>
      <font>
        <sz val="10.0"/>
        <color rgb="FF000000"/>
        <name val="Arial"/>
      </font>
      <fill>
        <patternFill patternType="solid">
          <fgColor rgb="FFD9D9D9"/>
          <bgColor rgb="FFD9D9D9"/>
        </patternFill>
      </fill>
      <border/>
    </dxf>
    <dxf>
      <font>
        <sz val="10.0"/>
        <color rgb="FFFFFFFF"/>
        <name val="Arial"/>
      </font>
      <fill>
        <patternFill patternType="solid">
          <fgColor rgb="FF808080"/>
          <bgColor rgb="FF808080"/>
        </patternFill>
      </fill>
      <border/>
    </dxf>
    <dxf>
      <font/>
      <fill>
        <patternFill patternType="solid">
          <fgColor rgb="FFBFBFBF"/>
          <bgColor rgb="FFBFBFBF"/>
        </patternFill>
      </fill>
      <border/>
    </dxf>
    <dxf>
      <font/>
      <fill>
        <patternFill patternType="solid">
          <fgColor rgb="FFFCE4D6"/>
          <bgColor rgb="FFFCE4D6"/>
        </patternFill>
      </fill>
      <border/>
    </dxf>
    <dxf>
      <font/>
      <fill>
        <patternFill patternType="solid">
          <fgColor rgb="FF9DC3E6"/>
          <bgColor rgb="FF9DC3E6"/>
        </patternFill>
      </fill>
      <border/>
    </dxf>
    <dxf>
      <font/>
      <fill>
        <patternFill patternType="solid">
          <fgColor rgb="FFD9D9D9"/>
          <bgColor rgb="FFD9D9D9"/>
        </patternFill>
      </fill>
      <border/>
    </dxf>
    <dxf>
      <font/>
      <fill>
        <patternFill patternType="solid">
          <fgColor rgb="FF808080"/>
          <bgColor rgb="FF80808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row>
    <row r="2">
      <c r="A2" s="2" t="s">
        <v>1</v>
      </c>
    </row>
    <row r="4">
      <c r="A4" s="2" t="s">
        <v>2</v>
      </c>
    </row>
    <row r="6">
      <c r="A6" s="2" t="s">
        <v>3</v>
      </c>
    </row>
    <row r="7">
      <c r="A7" s="2"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2.63" defaultRowHeight="15.0"/>
  <cols>
    <col customWidth="1" min="1" max="1" width="5.25"/>
    <col customWidth="1" min="2" max="2" width="43.75"/>
    <col customWidth="1" min="3" max="3" width="10.5"/>
    <col customWidth="1" min="4" max="7" width="7.0"/>
    <col customWidth="1" min="8" max="8" width="4.38"/>
    <col customWidth="1" min="9" max="9" width="12.25"/>
    <col customWidth="1" min="10" max="10" width="9.63"/>
    <col customWidth="1" min="11" max="46" width="2.88"/>
  </cols>
  <sheetData>
    <row r="1" ht="14.25" customHeight="1">
      <c r="A1" s="3" t="s">
        <v>5</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row>
    <row r="2" ht="14.25" customHeight="1">
      <c r="A2" s="5" t="s">
        <v>7</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row>
    <row r="3" ht="14.25" customHeight="1">
      <c r="A3" s="9" t="s">
        <v>10</v>
      </c>
      <c r="B3" s="4"/>
      <c r="C3" s="16">
        <f>SUMPRODUCT(--(LEN(Status!$A$5:$A$66)-LEN(SUBSTITUTE(Status!$A$5:$A$66,".",""))=2),--(Status!$L$5:$L$66="Completed"))/SUMPRODUCT(--(LEN(Status!$A$5:$A$66)-LEN(SUBSTITUTE(Status!$A$5:$A$66,".",""))=2))</f>
        <v>0.02631578947</v>
      </c>
      <c r="D3" s="6" t="s">
        <v>28</v>
      </c>
      <c r="H3" s="17">
        <f>Status!C3</f>
        <v>46303</v>
      </c>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ht="15.0" customHeight="1">
      <c r="A4" s="21" t="s">
        <v>12</v>
      </c>
      <c r="B4" s="21" t="s">
        <v>13</v>
      </c>
      <c r="C4" s="21" t="s">
        <v>14</v>
      </c>
      <c r="D4" s="21" t="s">
        <v>18</v>
      </c>
      <c r="E4" s="21" t="s">
        <v>40</v>
      </c>
      <c r="F4" s="21" t="s">
        <v>21</v>
      </c>
      <c r="G4" s="21" t="s">
        <v>41</v>
      </c>
      <c r="H4" s="21" t="s">
        <v>42</v>
      </c>
      <c r="I4" s="21" t="s">
        <v>17</v>
      </c>
      <c r="J4" s="21" t="s">
        <v>23</v>
      </c>
      <c r="K4" s="23" t="s">
        <v>43</v>
      </c>
      <c r="L4" s="25"/>
      <c r="M4" s="25"/>
      <c r="N4" s="25"/>
      <c r="O4" s="25"/>
      <c r="P4" s="25"/>
      <c r="Q4" s="25"/>
      <c r="R4" s="25"/>
      <c r="S4" s="25"/>
      <c r="T4" s="26"/>
      <c r="U4" s="23" t="s">
        <v>51</v>
      </c>
      <c r="V4" s="25"/>
      <c r="W4" s="25"/>
      <c r="X4" s="25"/>
      <c r="Y4" s="25"/>
      <c r="Z4" s="25"/>
      <c r="AA4" s="25"/>
      <c r="AB4" s="25"/>
      <c r="AC4" s="25"/>
      <c r="AD4" s="25"/>
      <c r="AE4" s="25"/>
      <c r="AF4" s="25"/>
      <c r="AG4" s="25"/>
      <c r="AH4" s="25"/>
      <c r="AI4" s="25"/>
      <c r="AJ4" s="25"/>
      <c r="AK4" s="25"/>
      <c r="AL4" s="25"/>
      <c r="AM4" s="25"/>
      <c r="AN4" s="25"/>
      <c r="AO4" s="25"/>
      <c r="AP4" s="26"/>
      <c r="AQ4" s="23" t="s">
        <v>61</v>
      </c>
      <c r="AR4" s="25"/>
      <c r="AS4" s="25"/>
      <c r="AT4" s="26"/>
    </row>
    <row r="5" ht="14.25" customHeight="1">
      <c r="A5" s="30"/>
      <c r="B5" s="30"/>
      <c r="C5" s="30"/>
      <c r="D5" s="30"/>
      <c r="E5" s="30"/>
      <c r="F5" s="30"/>
      <c r="G5" s="30"/>
      <c r="H5" s="30"/>
      <c r="I5" s="30"/>
      <c r="J5" s="30"/>
      <c r="K5" s="32" t="s">
        <v>66</v>
      </c>
      <c r="L5" s="26"/>
      <c r="M5" s="32" t="s">
        <v>73</v>
      </c>
      <c r="N5" s="25"/>
      <c r="O5" s="25"/>
      <c r="P5" s="25"/>
      <c r="Q5" s="26"/>
      <c r="R5" s="32" t="s">
        <v>78</v>
      </c>
      <c r="S5" s="25"/>
      <c r="T5" s="25"/>
      <c r="U5" s="25"/>
      <c r="V5" s="26"/>
      <c r="W5" s="32" t="s">
        <v>82</v>
      </c>
      <c r="X5" s="25"/>
      <c r="Y5" s="25"/>
      <c r="Z5" s="25"/>
      <c r="AA5" s="26"/>
      <c r="AB5" s="32" t="s">
        <v>87</v>
      </c>
      <c r="AC5" s="25"/>
      <c r="AD5" s="25"/>
      <c r="AE5" s="25"/>
      <c r="AF5" s="26"/>
      <c r="AG5" s="32" t="s">
        <v>93</v>
      </c>
      <c r="AH5" s="25"/>
      <c r="AI5" s="25"/>
      <c r="AJ5" s="25"/>
      <c r="AK5" s="26"/>
      <c r="AL5" s="32" t="s">
        <v>95</v>
      </c>
      <c r="AM5" s="25"/>
      <c r="AN5" s="25"/>
      <c r="AO5" s="25"/>
      <c r="AP5" s="26"/>
      <c r="AQ5" s="32" t="s">
        <v>102</v>
      </c>
      <c r="AR5" s="25"/>
      <c r="AS5" s="25"/>
      <c r="AT5" s="26"/>
    </row>
    <row r="6" ht="14.25" customHeight="1">
      <c r="A6" s="35"/>
      <c r="B6" s="35"/>
      <c r="C6" s="35"/>
      <c r="D6" s="35"/>
      <c r="E6" s="35"/>
      <c r="F6" s="35"/>
      <c r="G6" s="35"/>
      <c r="H6" s="35"/>
      <c r="I6" s="35"/>
      <c r="J6" s="35"/>
      <c r="K6" s="36">
        <v>46282.0</v>
      </c>
      <c r="L6" s="36">
        <f t="shared" ref="L6:AT6" si="1">WORKDAY(K6,1)</f>
        <v>46283</v>
      </c>
      <c r="M6" s="36">
        <f t="shared" si="1"/>
        <v>46286</v>
      </c>
      <c r="N6" s="36">
        <f t="shared" si="1"/>
        <v>46287</v>
      </c>
      <c r="O6" s="36">
        <f t="shared" si="1"/>
        <v>46288</v>
      </c>
      <c r="P6" s="36">
        <f t="shared" si="1"/>
        <v>46289</v>
      </c>
      <c r="Q6" s="36">
        <f t="shared" si="1"/>
        <v>46290</v>
      </c>
      <c r="R6" s="36">
        <f t="shared" si="1"/>
        <v>46293</v>
      </c>
      <c r="S6" s="36">
        <f t="shared" si="1"/>
        <v>46294</v>
      </c>
      <c r="T6" s="36">
        <f t="shared" si="1"/>
        <v>46295</v>
      </c>
      <c r="U6" s="36">
        <f t="shared" si="1"/>
        <v>46296</v>
      </c>
      <c r="V6" s="36">
        <f t="shared" si="1"/>
        <v>46297</v>
      </c>
      <c r="W6" s="36">
        <f t="shared" si="1"/>
        <v>46300</v>
      </c>
      <c r="X6" s="36">
        <f t="shared" si="1"/>
        <v>46301</v>
      </c>
      <c r="Y6" s="36">
        <f t="shared" si="1"/>
        <v>46302</v>
      </c>
      <c r="Z6" s="36">
        <f t="shared" si="1"/>
        <v>46303</v>
      </c>
      <c r="AA6" s="36">
        <f t="shared" si="1"/>
        <v>46304</v>
      </c>
      <c r="AB6" s="36">
        <f t="shared" si="1"/>
        <v>46307</v>
      </c>
      <c r="AC6" s="36">
        <f t="shared" si="1"/>
        <v>46308</v>
      </c>
      <c r="AD6" s="36">
        <f t="shared" si="1"/>
        <v>46309</v>
      </c>
      <c r="AE6" s="36">
        <f t="shared" si="1"/>
        <v>46310</v>
      </c>
      <c r="AF6" s="36">
        <f t="shared" si="1"/>
        <v>46311</v>
      </c>
      <c r="AG6" s="36">
        <f t="shared" si="1"/>
        <v>46314</v>
      </c>
      <c r="AH6" s="36">
        <f t="shared" si="1"/>
        <v>46315</v>
      </c>
      <c r="AI6" s="36">
        <f t="shared" si="1"/>
        <v>46316</v>
      </c>
      <c r="AJ6" s="36">
        <f t="shared" si="1"/>
        <v>46317</v>
      </c>
      <c r="AK6" s="36">
        <f t="shared" si="1"/>
        <v>46318</v>
      </c>
      <c r="AL6" s="36">
        <f t="shared" si="1"/>
        <v>46321</v>
      </c>
      <c r="AM6" s="36">
        <f t="shared" si="1"/>
        <v>46322</v>
      </c>
      <c r="AN6" s="36">
        <f t="shared" si="1"/>
        <v>46323</v>
      </c>
      <c r="AO6" s="36">
        <f t="shared" si="1"/>
        <v>46324</v>
      </c>
      <c r="AP6" s="36">
        <f t="shared" si="1"/>
        <v>46325</v>
      </c>
      <c r="AQ6" s="36">
        <f t="shared" si="1"/>
        <v>46328</v>
      </c>
      <c r="AR6" s="36">
        <f t="shared" si="1"/>
        <v>46329</v>
      </c>
      <c r="AS6" s="36">
        <f t="shared" si="1"/>
        <v>46330</v>
      </c>
      <c r="AT6" s="36">
        <f t="shared" si="1"/>
        <v>46331</v>
      </c>
    </row>
    <row r="7" ht="14.25" customHeight="1">
      <c r="A7" s="13" t="str">
        <f>IF(Status!A5="","",Status!A5)</f>
        <v>1</v>
      </c>
      <c r="B7" s="14" t="str">
        <f>IF(Status!B5="","",Status!B5)</f>
        <v>Project management &amp; setup</v>
      </c>
      <c r="C7" s="13" t="str">
        <f>IF(Status!C5="","",Status!C5)</f>
        <v/>
      </c>
      <c r="D7" s="40">
        <f>IF(Status!G5="","",Status!G5)</f>
        <v>46282</v>
      </c>
      <c r="E7" s="40">
        <f>IF(Status!H5="","",Status!H5)</f>
        <v>46321</v>
      </c>
      <c r="F7" s="40" t="str">
        <f>IF(Status!J5="","",Status!J5)</f>
        <v/>
      </c>
      <c r="G7" s="40" t="str">
        <f>IF(Status!K5="","",Status!K5)</f>
        <v/>
      </c>
      <c r="H7" s="13">
        <f>IF(Status!I5="","",Status!I5)</f>
        <v>26</v>
      </c>
      <c r="I7" s="15" t="str">
        <f>IF(Status!F5="","",Status!F5)</f>
        <v/>
      </c>
      <c r="J7" s="13" t="str">
        <f>IF(Status!L5="","",Status!L5)</f>
        <v/>
      </c>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row>
    <row r="8" ht="14.25" customHeight="1">
      <c r="A8" s="27" t="str">
        <f>IF(Status!A6="","",Status!A6)</f>
        <v>1.1</v>
      </c>
      <c r="B8" s="28" t="str">
        <f>IF(Status!B6="","",Status!B6)</f>
        <v>GitHub environment setup</v>
      </c>
      <c r="C8" s="27" t="str">
        <f>IF(Status!C6="","",Status!C6)</f>
        <v/>
      </c>
      <c r="D8" s="42">
        <f>IF(Status!G6="","",Status!G6)</f>
        <v>46282</v>
      </c>
      <c r="E8" s="42">
        <f>IF(Status!H6="","",Status!H6)</f>
        <v>46304</v>
      </c>
      <c r="F8" s="42" t="str">
        <f>IF(Status!J6="","",Status!J6)</f>
        <v/>
      </c>
      <c r="G8" s="42" t="str">
        <f>IF(Status!K6="","",Status!K6)</f>
        <v/>
      </c>
      <c r="H8" s="27">
        <f>IF(Status!I6="","",Status!I6)</f>
        <v>16</v>
      </c>
      <c r="I8" s="29" t="str">
        <f>IF(Status!F6="","",Status!F6)</f>
        <v/>
      </c>
      <c r="J8" s="27" t="str">
        <f>IF(Status!L6="","",Status!L6)</f>
        <v/>
      </c>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row>
    <row r="9" ht="14.25" customHeight="1">
      <c r="A9" s="33" t="str">
        <f>IF(Status!A7="","",Status!A7)</f>
        <v>1.1.1</v>
      </c>
      <c r="B9" s="20" t="str">
        <f>IF(Status!B7="","",Status!B7)</f>
        <v>Setting up repository</v>
      </c>
      <c r="C9" s="33" t="str">
        <f>IF(Status!C7="","",Status!C7)</f>
        <v>Noa &amp; Ferran</v>
      </c>
      <c r="D9" s="44">
        <f>IF(Status!G7="","",Status!G7)</f>
        <v>46282</v>
      </c>
      <c r="E9" s="44">
        <f>IF(Status!H7="","",Status!H7)</f>
        <v>46282</v>
      </c>
      <c r="F9" s="44">
        <f>IF(Status!J7="","",Status!J7)</f>
        <v>46282</v>
      </c>
      <c r="G9" s="44">
        <f>IF(Status!K7="","",Status!K7)</f>
        <v>46282</v>
      </c>
      <c r="H9" s="33">
        <f>IF(Status!I7="","",Status!I7)</f>
        <v>1</v>
      </c>
      <c r="I9" s="19" t="str">
        <f>IF(Status!F7="","",Status!F7)</f>
        <v/>
      </c>
      <c r="J9" s="33" t="str">
        <f>IF(Status!L7="","",Status!L7)</f>
        <v>Completed</v>
      </c>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row>
    <row r="10" ht="14.25" customHeight="1">
      <c r="A10" s="33" t="str">
        <f>IF(Status!A8="","",Status!A8)</f>
        <v>1.1.2</v>
      </c>
      <c r="B10" s="20" t="str">
        <f>IF(Status!B8="","",Status!B8)</f>
        <v>Repository update to Formal Requirements (name, report/, references/, README)</v>
      </c>
      <c r="C10" s="33" t="str">
        <f>IF(Status!C8="","",Status!C8)</f>
        <v>Leyre</v>
      </c>
      <c r="D10" s="44">
        <f>IF(Status!G8="","",Status!G8)</f>
        <v>46304</v>
      </c>
      <c r="E10" s="44">
        <f>IF(Status!H8="","",Status!H8)</f>
        <v>46304</v>
      </c>
      <c r="F10" s="44" t="str">
        <f>IF(Status!J8="","",Status!J8)</f>
        <v/>
      </c>
      <c r="G10" s="44" t="str">
        <f>IF(Status!K8="","",Status!K8)</f>
        <v/>
      </c>
      <c r="H10" s="33">
        <f>IF(Status!I8="","",Status!I8)</f>
        <v>1</v>
      </c>
      <c r="I10" s="19" t="str">
        <f>IF(Status!F8="","",Status!F8)</f>
        <v>1.1.1</v>
      </c>
      <c r="J10" s="33" t="str">
        <f>IF(Status!L8="","",Status!L8)</f>
        <v>Pending</v>
      </c>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row>
    <row r="11" ht="14.25" customHeight="1">
      <c r="A11" s="27" t="str">
        <f>IF(Status!A9="","",Status!A9)</f>
        <v>1.2</v>
      </c>
      <c r="B11" s="28" t="str">
        <f>IF(Status!B9="","",Status!B9)</f>
        <v>Project planning</v>
      </c>
      <c r="C11" s="27" t="str">
        <f>IF(Status!C9="","",Status!C9)</f>
        <v/>
      </c>
      <c r="D11" s="42">
        <f>IF(Status!G9="","",Status!G9)</f>
        <v>46296</v>
      </c>
      <c r="E11" s="42">
        <f>IF(Status!H9="","",Status!H9)</f>
        <v>46304</v>
      </c>
      <c r="F11" s="42" t="str">
        <f>IF(Status!J9="","",Status!J9)</f>
        <v/>
      </c>
      <c r="G11" s="42" t="str">
        <f>IF(Status!K9="","",Status!K9)</f>
        <v/>
      </c>
      <c r="H11" s="27">
        <f>IF(Status!I9="","",Status!I9)</f>
        <v>7</v>
      </c>
      <c r="I11" s="29" t="str">
        <f>IF(Status!F9="","",Status!F9)</f>
        <v/>
      </c>
      <c r="J11" s="27" t="str">
        <f>IF(Status!L9="","",Status!L9)</f>
        <v/>
      </c>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row>
    <row r="12" ht="14.25" customHeight="1">
      <c r="A12" s="33" t="str">
        <f>IF(Status!A10="","",Status!A10)</f>
        <v>1.2.1</v>
      </c>
      <c r="B12" s="20" t="str">
        <f>IF(Status!B10="","",Status!B10)</f>
        <v>Gantt chart (Excel)</v>
      </c>
      <c r="C12" s="33" t="str">
        <f>IF(Status!C10="","",Status!C10)</f>
        <v>All</v>
      </c>
      <c r="D12" s="44">
        <f>IF(Status!G10="","",Status!G10)</f>
        <v>46296</v>
      </c>
      <c r="E12" s="44">
        <f>IF(Status!H10="","",Status!H10)</f>
        <v>46303</v>
      </c>
      <c r="F12" s="44">
        <f>IF(Status!J10="","",Status!J10)</f>
        <v>46294</v>
      </c>
      <c r="G12" s="44" t="str">
        <f>IF(Status!K10="","",Status!K10)</f>
        <v/>
      </c>
      <c r="H12" s="33">
        <f>IF(Status!I10="","",Status!I10)</f>
        <v>6</v>
      </c>
      <c r="I12" s="19" t="str">
        <f>IF(Status!F10="","",Status!F10)</f>
        <v>1.1.1</v>
      </c>
      <c r="J12" s="33" t="str">
        <f>IF(Status!L10="","",Status!L10)</f>
        <v>In progress</v>
      </c>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row>
    <row r="13" ht="14.25" customHeight="1">
      <c r="A13" s="33" t="str">
        <f>IF(Status!A11="","",Status!A11)</f>
        <v>1.2.2</v>
      </c>
      <c r="B13" s="20" t="str">
        <f>IF(Status!B11="","",Status!B11)</f>
        <v>Risk assessment</v>
      </c>
      <c r="C13" s="33" t="str">
        <f>IF(Status!C11="","",Status!C11)</f>
        <v>Leyre</v>
      </c>
      <c r="D13" s="44">
        <f>IF(Status!G11="","",Status!G11)</f>
        <v>46300</v>
      </c>
      <c r="E13" s="44">
        <f>IF(Status!H11="","",Status!H11)</f>
        <v>46303</v>
      </c>
      <c r="F13" s="44">
        <f>IF(Status!J11="","",Status!J11)</f>
        <v>46301</v>
      </c>
      <c r="G13" s="44" t="str">
        <f>IF(Status!K11="","",Status!K11)</f>
        <v/>
      </c>
      <c r="H13" s="33">
        <f>IF(Status!I11="","",Status!I11)</f>
        <v>4</v>
      </c>
      <c r="I13" s="19" t="str">
        <f>IF(Status!F11="","",Status!F11)</f>
        <v>1.2.1 (SS)</v>
      </c>
      <c r="J13" s="33" t="str">
        <f>IF(Status!L11="","",Status!L11)</f>
        <v>In progress</v>
      </c>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row>
    <row r="14" ht="14.25" customHeight="1">
      <c r="A14" s="33" t="str">
        <f>IF(Status!A12="","",Status!A12)</f>
        <v>1.2.3</v>
      </c>
      <c r="B14" s="20" t="str">
        <f>IF(Status!B12="","",Status!B12)</f>
        <v>Gantt v1 export to PDF, Moodle submission and freeze in repo</v>
      </c>
      <c r="C14" s="33" t="str">
        <f>IF(Status!C12="","",Status!C12)</f>
        <v>Luz</v>
      </c>
      <c r="D14" s="44">
        <f>IF(Status!G12="","",Status!G12)</f>
        <v>46304</v>
      </c>
      <c r="E14" s="44">
        <f>IF(Status!H12="","",Status!H12)</f>
        <v>46304</v>
      </c>
      <c r="F14" s="44" t="str">
        <f>IF(Status!J12="","",Status!J12)</f>
        <v/>
      </c>
      <c r="G14" s="44" t="str">
        <f>IF(Status!K12="","",Status!K12)</f>
        <v/>
      </c>
      <c r="H14" s="33">
        <f>IF(Status!I12="","",Status!I12)</f>
        <v>1</v>
      </c>
      <c r="I14" s="19" t="str">
        <f>IF(Status!F12="","",Status!F12)</f>
        <v>1.2.1, 1.2.2</v>
      </c>
      <c r="J14" s="33" t="str">
        <f>IF(Status!L12="","",Status!L12)</f>
        <v>Pending</v>
      </c>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row>
    <row r="15" ht="14.25" customHeight="1">
      <c r="A15" s="27" t="str">
        <f>IF(Status!A13="","",Status!A13)</f>
        <v>1.3</v>
      </c>
      <c r="B15" s="28" t="str">
        <f>IF(Status!B13="","",Status!B13)</f>
        <v>Literature review</v>
      </c>
      <c r="C15" s="27" t="str">
        <f>IF(Status!C13="","",Status!C13)</f>
        <v/>
      </c>
      <c r="D15" s="42">
        <f>IF(Status!G13="","",Status!G13)</f>
        <v>46301</v>
      </c>
      <c r="E15" s="42">
        <f>IF(Status!H13="","",Status!H13)</f>
        <v>46317</v>
      </c>
      <c r="F15" s="42" t="str">
        <f>IF(Status!J13="","",Status!J13)</f>
        <v/>
      </c>
      <c r="G15" s="42" t="str">
        <f>IF(Status!K13="","",Status!K13)</f>
        <v/>
      </c>
      <c r="H15" s="27">
        <f>IF(Status!I13="","",Status!I13)</f>
        <v>12</v>
      </c>
      <c r="I15" s="29" t="str">
        <f>IF(Status!F13="","",Status!F13)</f>
        <v/>
      </c>
      <c r="J15" s="27" t="str">
        <f>IF(Status!L13="","",Status!L13)</f>
        <v/>
      </c>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row>
    <row r="16" ht="14.25" customHeight="1">
      <c r="A16" s="33" t="str">
        <f>IF(Status!A14="","",Status!A14)</f>
        <v>1.3.1</v>
      </c>
      <c r="B16" s="20" t="str">
        <f>IF(Status!B14="","",Status!B14)</f>
        <v>Bibliography selection</v>
      </c>
      <c r="C16" s="33" t="str">
        <f>IF(Status!C14="","",Status!C14)</f>
        <v>All</v>
      </c>
      <c r="D16" s="44">
        <f>IF(Status!G14="","",Status!G14)</f>
        <v>46301</v>
      </c>
      <c r="E16" s="44">
        <f>IF(Status!H14="","",Status!H14)</f>
        <v>46304</v>
      </c>
      <c r="F16" s="44">
        <f>IF(Status!J14="","",Status!J14)</f>
        <v>46301</v>
      </c>
      <c r="G16" s="44" t="str">
        <f>IF(Status!K14="","",Status!K14)</f>
        <v/>
      </c>
      <c r="H16" s="33">
        <f>IF(Status!I14="","",Status!I14)</f>
        <v>4</v>
      </c>
      <c r="I16" s="19" t="str">
        <f>IF(Status!F14="","",Status!F14)</f>
        <v/>
      </c>
      <c r="J16" s="33" t="str">
        <f>IF(Status!L14="","",Status!L14)</f>
        <v>In progress</v>
      </c>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row>
    <row r="17" ht="14.25" customHeight="1">
      <c r="A17" s="33" t="str">
        <f>IF(Status!A15="","",Status!A15)</f>
        <v>1.3.2</v>
      </c>
      <c r="B17" s="20" t="str">
        <f>IF(Status!B15="","",Status!B15)</f>
        <v>Extraction of information and storage of sources</v>
      </c>
      <c r="C17" s="33" t="str">
        <f>IF(Status!C15="","",Status!C15)</f>
        <v>All</v>
      </c>
      <c r="D17" s="44">
        <f>IF(Status!G15="","",Status!G15)</f>
        <v>46308</v>
      </c>
      <c r="E17" s="44">
        <f>IF(Status!H15="","",Status!H15)</f>
        <v>46316</v>
      </c>
      <c r="F17" s="44" t="str">
        <f>IF(Status!J15="","",Status!J15)</f>
        <v/>
      </c>
      <c r="G17" s="44" t="str">
        <f>IF(Status!K15="","",Status!K15)</f>
        <v/>
      </c>
      <c r="H17" s="33">
        <f>IF(Status!I15="","",Status!I15)</f>
        <v>7</v>
      </c>
      <c r="I17" s="19" t="str">
        <f>IF(Status!F15="","",Status!F15)</f>
        <v>1.3.1</v>
      </c>
      <c r="J17" s="33" t="str">
        <f>IF(Status!L15="","",Status!L15)</f>
        <v>Pending</v>
      </c>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row>
    <row r="18" ht="14.25" customHeight="1">
      <c r="A18" s="33" t="str">
        <f>IF(Status!A16="","",Status!A16)</f>
        <v>1.3.3</v>
      </c>
      <c r="B18" s="20" t="str">
        <f>IF(Status!B16="","",Status!B16)</f>
        <v>In-text citations and reference list (Oxford SCIMED)</v>
      </c>
      <c r="C18" s="33" t="str">
        <f>IF(Status!C16="","",Status!C16)</f>
        <v>All</v>
      </c>
      <c r="D18" s="44">
        <f>IF(Status!G16="","",Status!G16)</f>
        <v>46310</v>
      </c>
      <c r="E18" s="44">
        <f>IF(Status!H16="","",Status!H16)</f>
        <v>46317</v>
      </c>
      <c r="F18" s="44" t="str">
        <f>IF(Status!J16="","",Status!J16)</f>
        <v/>
      </c>
      <c r="G18" s="44" t="str">
        <f>IF(Status!K16="","",Status!K16)</f>
        <v/>
      </c>
      <c r="H18" s="33">
        <f>IF(Status!I16="","",Status!I16)</f>
        <v>6</v>
      </c>
      <c r="I18" s="19" t="str">
        <f>IF(Status!F16="","",Status!F16)</f>
        <v>1.3.1</v>
      </c>
      <c r="J18" s="33" t="str">
        <f>IF(Status!L16="","",Status!L16)</f>
        <v>Pending</v>
      </c>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row>
    <row r="19" ht="14.25" customHeight="1">
      <c r="A19" s="27" t="str">
        <f>IF(Status!A17="","",Status!A17)</f>
        <v>1.4</v>
      </c>
      <c r="B19" s="28" t="str">
        <f>IF(Status!B17="","",Status!B17)</f>
        <v>Project monitoring</v>
      </c>
      <c r="C19" s="27" t="str">
        <f>IF(Status!C17="","",Status!C17)</f>
        <v/>
      </c>
      <c r="D19" s="42">
        <f>IF(Status!G17="","",Status!G17)</f>
        <v>46304</v>
      </c>
      <c r="E19" s="42">
        <f>IF(Status!H17="","",Status!H17)</f>
        <v>46321</v>
      </c>
      <c r="F19" s="42" t="str">
        <f>IF(Status!J17="","",Status!J17)</f>
        <v/>
      </c>
      <c r="G19" s="42" t="str">
        <f>IF(Status!K17="","",Status!K17)</f>
        <v/>
      </c>
      <c r="H19" s="27">
        <f>IF(Status!I17="","",Status!I17)</f>
        <v>11</v>
      </c>
      <c r="I19" s="29" t="str">
        <f>IF(Status!F17="","",Status!F17)</f>
        <v/>
      </c>
      <c r="J19" s="27" t="str">
        <f>IF(Status!L17="","",Status!L17)</f>
        <v/>
      </c>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row>
    <row r="20" ht="14.25" customHeight="1">
      <c r="A20" s="33" t="str">
        <f>IF(Status!A18="","",Status!A18)</f>
        <v>1.4.1</v>
      </c>
      <c r="B20" s="20" t="str">
        <f>IF(Status!B18="","",Status!B18)</f>
        <v>Project Status and live Gantt updates (Mon &amp; Thu)</v>
      </c>
      <c r="C20" s="33" t="str">
        <f>IF(Status!C18="","",Status!C18)</f>
        <v>Ferran</v>
      </c>
      <c r="D20" s="44">
        <f>IF(Status!G18="","",Status!G18)</f>
        <v>46304</v>
      </c>
      <c r="E20" s="44">
        <f>IF(Status!H18="","",Status!H18)</f>
        <v>46321</v>
      </c>
      <c r="F20" s="44" t="str">
        <f>IF(Status!J18="","",Status!J18)</f>
        <v/>
      </c>
      <c r="G20" s="44" t="str">
        <f>IF(Status!K18="","",Status!K18)</f>
        <v/>
      </c>
      <c r="H20" s="33">
        <f>IF(Status!I18="","",Status!I18)</f>
        <v>11</v>
      </c>
      <c r="I20" s="19" t="str">
        <f>IF(Status!F18="","",Status!F18)</f>
        <v>1.2.1</v>
      </c>
      <c r="J20" s="33" t="str">
        <f>IF(Status!L18="","",Status!L18)</f>
        <v>Pending</v>
      </c>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row>
    <row r="21" ht="14.25" customHeight="1">
      <c r="A21" s="33" t="str">
        <f>IF(Status!A19="","",Status!A19)</f>
        <v>1.4.2</v>
      </c>
      <c r="B21" s="20" t="str">
        <f>IF(Status!B19="","",Status!B19)</f>
        <v>Risk monitoring</v>
      </c>
      <c r="C21" s="33" t="str">
        <f>IF(Status!C19="","",Status!C19)</f>
        <v>Leyre</v>
      </c>
      <c r="D21" s="44">
        <f>IF(Status!G19="","",Status!G19)</f>
        <v>46304</v>
      </c>
      <c r="E21" s="44">
        <f>IF(Status!H19="","",Status!H19)</f>
        <v>46321</v>
      </c>
      <c r="F21" s="44" t="str">
        <f>IF(Status!J19="","",Status!J19)</f>
        <v/>
      </c>
      <c r="G21" s="44" t="str">
        <f>IF(Status!K19="","",Status!K19)</f>
        <v/>
      </c>
      <c r="H21" s="33">
        <f>IF(Status!I19="","",Status!I19)</f>
        <v>11</v>
      </c>
      <c r="I21" s="19" t="str">
        <f>IF(Status!F19="","",Status!F19)</f>
        <v>1.2.2</v>
      </c>
      <c r="J21" s="33" t="str">
        <f>IF(Status!L19="","",Status!L19)</f>
        <v>Pending</v>
      </c>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row>
    <row r="22" ht="14.25" customHeight="1">
      <c r="A22" s="33" t="str">
        <f>IF(Status!A20="","",Status!A20)</f>
        <v>1.4.3</v>
      </c>
      <c r="B22" s="20" t="str">
        <f>IF(Status!B20="","",Status!B20)</f>
        <v>Retrospective preparation</v>
      </c>
      <c r="C22" s="33" t="str">
        <f>IF(Status!C20="","",Status!C20)</f>
        <v>Ferran</v>
      </c>
      <c r="D22" s="44">
        <f>IF(Status!G20="","",Status!G20)</f>
        <v>46316</v>
      </c>
      <c r="E22" s="44">
        <f>IF(Status!H20="","",Status!H20)</f>
        <v>46316</v>
      </c>
      <c r="F22" s="44" t="str">
        <f>IF(Status!J20="","",Status!J20)</f>
        <v/>
      </c>
      <c r="G22" s="44" t="str">
        <f>IF(Status!K20="","",Status!K20)</f>
        <v/>
      </c>
      <c r="H22" s="33">
        <f>IF(Status!I20="","",Status!I20)</f>
        <v>1</v>
      </c>
      <c r="I22" s="19" t="str">
        <f>IF(Status!F20="","",Status!F20)</f>
        <v>1.4.1 (SS)</v>
      </c>
      <c r="J22" s="33" t="str">
        <f>IF(Status!L20="","",Status!L20)</f>
        <v>Pending</v>
      </c>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row>
    <row r="23" ht="14.25" customHeight="1">
      <c r="A23" s="13" t="str">
        <f>IF(Status!A21="","",Status!A21)</f>
        <v>2</v>
      </c>
      <c r="B23" s="14" t="str">
        <f>IF(Status!B21="","",Status!B21)</f>
        <v>Bioinformatic analysis</v>
      </c>
      <c r="C23" s="13" t="str">
        <f>IF(Status!C21="","",Status!C21)</f>
        <v/>
      </c>
      <c r="D23" s="40">
        <f>IF(Status!G21="","",Status!G21)</f>
        <v>46308</v>
      </c>
      <c r="E23" s="40">
        <f>IF(Status!H21="","",Status!H21)</f>
        <v>46315</v>
      </c>
      <c r="F23" s="40" t="str">
        <f>IF(Status!J21="","",Status!J21)</f>
        <v/>
      </c>
      <c r="G23" s="40" t="str">
        <f>IF(Status!K21="","",Status!K21)</f>
        <v/>
      </c>
      <c r="H23" s="13">
        <f>IF(Status!I21="","",Status!I21)</f>
        <v>6</v>
      </c>
      <c r="I23" s="15" t="str">
        <f>IF(Status!F21="","",Status!F21)</f>
        <v/>
      </c>
      <c r="J23" s="13" t="str">
        <f>IF(Status!L21="","",Status!L21)</f>
        <v/>
      </c>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row>
    <row r="24" ht="14.25" customHeight="1">
      <c r="A24" s="27" t="str">
        <f>IF(Status!A22="","",Status!A22)</f>
        <v>2.1</v>
      </c>
      <c r="B24" s="28" t="str">
        <f>IF(Status!B22="","",Status!B22)</f>
        <v>Sequence, mutation and structure analysis</v>
      </c>
      <c r="C24" s="27" t="str">
        <f>IF(Status!C22="","",Status!C22)</f>
        <v/>
      </c>
      <c r="D24" s="42">
        <f>IF(Status!G22="","",Status!G22)</f>
        <v>46308</v>
      </c>
      <c r="E24" s="42">
        <f>IF(Status!H22="","",Status!H22)</f>
        <v>46311</v>
      </c>
      <c r="F24" s="42" t="str">
        <f>IF(Status!J22="","",Status!J22)</f>
        <v/>
      </c>
      <c r="G24" s="42" t="str">
        <f>IF(Status!K22="","",Status!K22)</f>
        <v/>
      </c>
      <c r="H24" s="27">
        <f>IF(Status!I22="","",Status!I22)</f>
        <v>4</v>
      </c>
      <c r="I24" s="29" t="str">
        <f>IF(Status!F22="","",Status!F22)</f>
        <v/>
      </c>
      <c r="J24" s="27" t="str">
        <f>IF(Status!L22="","",Status!L22)</f>
        <v/>
      </c>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row>
    <row r="25" ht="14.25" customHeight="1">
      <c r="A25" s="33" t="str">
        <f>IF(Status!A23="","",Status!A23)</f>
        <v>2.1.1</v>
      </c>
      <c r="B25" s="20" t="str">
        <f>IF(Status!B23="","",Status!B23)</f>
        <v>Disease cause at gene, protein, structure and function level</v>
      </c>
      <c r="C25" s="33" t="str">
        <f>IF(Status!C23="","",Status!C23)</f>
        <v>Luz</v>
      </c>
      <c r="D25" s="44">
        <f>IF(Status!G23="","",Status!G23)</f>
        <v>46308</v>
      </c>
      <c r="E25" s="44">
        <f>IF(Status!H23="","",Status!H23)</f>
        <v>46309</v>
      </c>
      <c r="F25" s="44" t="str">
        <f>IF(Status!J23="","",Status!J23)</f>
        <v/>
      </c>
      <c r="G25" s="44" t="str">
        <f>IF(Status!K23="","",Status!K23)</f>
        <v/>
      </c>
      <c r="H25" s="33">
        <f>IF(Status!I23="","",Status!I23)</f>
        <v>2</v>
      </c>
      <c r="I25" s="19" t="str">
        <f>IF(Status!F23="","",Status!F23)</f>
        <v>1.3.1</v>
      </c>
      <c r="J25" s="33" t="str">
        <f>IF(Status!L23="","",Status!L23)</f>
        <v>Pending</v>
      </c>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row>
    <row r="26" ht="14.25" customHeight="1">
      <c r="A26" s="33" t="str">
        <f>IF(Status!A24="","",Status!A24)</f>
        <v>2.1.2</v>
      </c>
      <c r="B26" s="20" t="str">
        <f>IF(Status!B24="","",Status!B24)</f>
        <v>Variant selection and numbering mapping table</v>
      </c>
      <c r="C26" s="33" t="str">
        <f>IF(Status!C24="","",Status!C24)</f>
        <v>Leyre</v>
      </c>
      <c r="D26" s="44">
        <f>IF(Status!G24="","",Status!G24)</f>
        <v>46308</v>
      </c>
      <c r="E26" s="44">
        <f>IF(Status!H24="","",Status!H24)</f>
        <v>46309</v>
      </c>
      <c r="F26" s="44" t="str">
        <f>IF(Status!J24="","",Status!J24)</f>
        <v/>
      </c>
      <c r="G26" s="44" t="str">
        <f>IF(Status!K24="","",Status!K24)</f>
        <v/>
      </c>
      <c r="H26" s="33">
        <f>IF(Status!I24="","",Status!I24)</f>
        <v>2</v>
      </c>
      <c r="I26" s="19" t="str">
        <f>IF(Status!F24="","",Status!F24)</f>
        <v>1.3.1</v>
      </c>
      <c r="J26" s="33" t="str">
        <f>IF(Status!L24="","",Status!L24)</f>
        <v>Pending</v>
      </c>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row>
    <row r="27" ht="14.25" customHeight="1">
      <c r="A27" s="33" t="str">
        <f>IF(Status!A25="","",Status!A25)</f>
        <v>2.1.3</v>
      </c>
      <c r="B27" s="20" t="str">
        <f>IF(Status!B25="","",Status!B25)</f>
        <v>Wild-type vs mutant sequence alignment</v>
      </c>
      <c r="C27" s="33" t="str">
        <f>IF(Status!C25="","",Status!C25)</f>
        <v>Leyre</v>
      </c>
      <c r="D27" s="44">
        <f>IF(Status!G25="","",Status!G25)</f>
        <v>46310</v>
      </c>
      <c r="E27" s="44">
        <f>IF(Status!H25="","",Status!H25)</f>
        <v>46311</v>
      </c>
      <c r="F27" s="44" t="str">
        <f>IF(Status!J25="","",Status!J25)</f>
        <v/>
      </c>
      <c r="G27" s="44" t="str">
        <f>IF(Status!K25="","",Status!K25)</f>
        <v/>
      </c>
      <c r="H27" s="33">
        <f>IF(Status!I25="","",Status!I25)</f>
        <v>2</v>
      </c>
      <c r="I27" s="19" t="str">
        <f>IF(Status!F25="","",Status!F25)</f>
        <v>2.1.2</v>
      </c>
      <c r="J27" s="33" t="str">
        <f>IF(Status!L25="","",Status!L25)</f>
        <v>Pending</v>
      </c>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row>
    <row r="28" ht="14.25" customHeight="1">
      <c r="A28" s="33" t="str">
        <f>IF(Status!A26="","",Status!A26)</f>
        <v>2.1.4</v>
      </c>
      <c r="B28" s="20" t="str">
        <f>IF(Status!B26="","",Status!B26)</f>
        <v>Mapping of variants onto the 3D structure</v>
      </c>
      <c r="C28" s="33" t="str">
        <f>IF(Status!C26="","",Status!C26)</f>
        <v>Ferran</v>
      </c>
      <c r="D28" s="44">
        <f>IF(Status!G26="","",Status!G26)</f>
        <v>46310</v>
      </c>
      <c r="E28" s="44">
        <f>IF(Status!H26="","",Status!H26)</f>
        <v>46311</v>
      </c>
      <c r="F28" s="44" t="str">
        <f>IF(Status!J26="","",Status!J26)</f>
        <v/>
      </c>
      <c r="G28" s="44" t="str">
        <f>IF(Status!K26="","",Status!K26)</f>
        <v/>
      </c>
      <c r="H28" s="33">
        <f>IF(Status!I26="","",Status!I26)</f>
        <v>2</v>
      </c>
      <c r="I28" s="19" t="str">
        <f>IF(Status!F26="","",Status!F26)</f>
        <v>2.1.2</v>
      </c>
      <c r="J28" s="33" t="str">
        <f>IF(Status!L26="","",Status!L26)</f>
        <v>Pending</v>
      </c>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row>
    <row r="29" ht="14.25" customHeight="1">
      <c r="A29" s="27" t="str">
        <f>IF(Status!A27="","",Status!A27)</f>
        <v>2.2</v>
      </c>
      <c r="B29" s="28" t="str">
        <f>IF(Status!B27="","",Status!B27)</f>
        <v>Evolutionary conservation</v>
      </c>
      <c r="C29" s="27" t="str">
        <f>IF(Status!C27="","",Status!C27)</f>
        <v/>
      </c>
      <c r="D29" s="42">
        <f>IF(Status!G27="","",Status!G27)</f>
        <v>46308</v>
      </c>
      <c r="E29" s="42">
        <f>IF(Status!H27="","",Status!H27)</f>
        <v>46314</v>
      </c>
      <c r="F29" s="42" t="str">
        <f>IF(Status!J27="","",Status!J27)</f>
        <v/>
      </c>
      <c r="G29" s="42" t="str">
        <f>IF(Status!K27="","",Status!K27)</f>
        <v/>
      </c>
      <c r="H29" s="27">
        <f>IF(Status!I27="","",Status!I27)</f>
        <v>5</v>
      </c>
      <c r="I29" s="29" t="str">
        <f>IF(Status!F27="","",Status!F27)</f>
        <v/>
      </c>
      <c r="J29" s="27" t="str">
        <f>IF(Status!L27="","",Status!L27)</f>
        <v/>
      </c>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row>
    <row r="30" ht="14.25" customHeight="1">
      <c r="A30" s="33" t="str">
        <f>IF(Status!A28="","",Status!A28)</f>
        <v>2.2.1</v>
      </c>
      <c r="B30" s="20" t="str">
        <f>IF(Status!B28="","",Status!B28)</f>
        <v>Species selection (≥ 2) and ortholog retrieval</v>
      </c>
      <c r="C30" s="33" t="str">
        <f>IF(Status!C28="","",Status!C28)</f>
        <v>Noa</v>
      </c>
      <c r="D30" s="44">
        <f>IF(Status!G28="","",Status!G28)</f>
        <v>46308</v>
      </c>
      <c r="E30" s="44">
        <f>IF(Status!H28="","",Status!H28)</f>
        <v>46309</v>
      </c>
      <c r="F30" s="44" t="str">
        <f>IF(Status!J28="","",Status!J28)</f>
        <v/>
      </c>
      <c r="G30" s="44" t="str">
        <f>IF(Status!K28="","",Status!K28)</f>
        <v/>
      </c>
      <c r="H30" s="33">
        <f>IF(Status!I28="","",Status!I28)</f>
        <v>2</v>
      </c>
      <c r="I30" s="19" t="str">
        <f>IF(Status!F28="","",Status!F28)</f>
        <v>1.3.1</v>
      </c>
      <c r="J30" s="33" t="str">
        <f>IF(Status!L28="","",Status!L28)</f>
        <v>Pending</v>
      </c>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row>
    <row r="31" ht="14.25" customHeight="1">
      <c r="A31" s="33" t="str">
        <f>IF(Status!A29="","",Status!A29)</f>
        <v>2.2.2</v>
      </c>
      <c r="B31" s="20" t="str">
        <f>IF(Status!B29="","",Status!B29)</f>
        <v>Multiple sequence alignment and conservation of mutated residues</v>
      </c>
      <c r="C31" s="33" t="str">
        <f>IF(Status!C29="","",Status!C29)</f>
        <v>Noa</v>
      </c>
      <c r="D31" s="44">
        <f>IF(Status!G29="","",Status!G29)</f>
        <v>46310</v>
      </c>
      <c r="E31" s="44">
        <f>IF(Status!H29="","",Status!H29)</f>
        <v>46311</v>
      </c>
      <c r="F31" s="44" t="str">
        <f>IF(Status!J29="","",Status!J29)</f>
        <v/>
      </c>
      <c r="G31" s="44" t="str">
        <f>IF(Status!K29="","",Status!K29)</f>
        <v/>
      </c>
      <c r="H31" s="33">
        <f>IF(Status!I29="","",Status!I29)</f>
        <v>2</v>
      </c>
      <c r="I31" s="19" t="str">
        <f>IF(Status!F29="","",Status!F29)</f>
        <v>2.1.2, 2.2.1</v>
      </c>
      <c r="J31" s="33" t="str">
        <f>IF(Status!L29="","",Status!L29)</f>
        <v>Pending</v>
      </c>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row>
    <row r="32" ht="14.25" customHeight="1">
      <c r="A32" s="33" t="str">
        <f>IF(Status!A30="","",Status!A30)</f>
        <v>2.2.3</v>
      </c>
      <c r="B32" s="20" t="str">
        <f>IF(Status!B30="","",Status!B30)</f>
        <v>Selective pressure in evolution</v>
      </c>
      <c r="C32" s="33" t="str">
        <f>IF(Status!C30="","",Status!C30)</f>
        <v>Noa</v>
      </c>
      <c r="D32" s="44">
        <f>IF(Status!G30="","",Status!G30)</f>
        <v>46314</v>
      </c>
      <c r="E32" s="44">
        <f>IF(Status!H30="","",Status!H30)</f>
        <v>46314</v>
      </c>
      <c r="F32" s="44" t="str">
        <f>IF(Status!J30="","",Status!J30)</f>
        <v/>
      </c>
      <c r="G32" s="44" t="str">
        <f>IF(Status!K30="","",Status!K30)</f>
        <v/>
      </c>
      <c r="H32" s="33">
        <f>IF(Status!I30="","",Status!I30)</f>
        <v>1</v>
      </c>
      <c r="I32" s="19" t="str">
        <f>IF(Status!F30="","",Status!F30)</f>
        <v>2.2.2</v>
      </c>
      <c r="J32" s="33" t="str">
        <f>IF(Status!L30="","",Status!L30)</f>
        <v>Pending</v>
      </c>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row>
    <row r="33" ht="14.25" customHeight="1">
      <c r="A33" s="27" t="str">
        <f>IF(Status!A31="","",Status!A31)</f>
        <v>2.3</v>
      </c>
      <c r="B33" s="28" t="str">
        <f>IF(Status!B31="","",Status!B31)</f>
        <v>Structure–function impact</v>
      </c>
      <c r="C33" s="27" t="str">
        <f>IF(Status!C31="","",Status!C31)</f>
        <v/>
      </c>
      <c r="D33" s="42">
        <f>IF(Status!G31="","",Status!G31)</f>
        <v>46314</v>
      </c>
      <c r="E33" s="42">
        <f>IF(Status!H31="","",Status!H31)</f>
        <v>46315</v>
      </c>
      <c r="F33" s="42" t="str">
        <f>IF(Status!J31="","",Status!J31)</f>
        <v/>
      </c>
      <c r="G33" s="42" t="str">
        <f>IF(Status!K31="","",Status!K31)</f>
        <v/>
      </c>
      <c r="H33" s="27">
        <f>IF(Status!I31="","",Status!I31)</f>
        <v>2</v>
      </c>
      <c r="I33" s="29" t="str">
        <f>IF(Status!F31="","",Status!F31)</f>
        <v/>
      </c>
      <c r="J33" s="27" t="str">
        <f>IF(Status!L31="","",Status!L31)</f>
        <v/>
      </c>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c r="AL33" s="43"/>
      <c r="AM33" s="43"/>
      <c r="AN33" s="43"/>
      <c r="AO33" s="43"/>
      <c r="AP33" s="43"/>
      <c r="AQ33" s="43"/>
      <c r="AR33" s="43"/>
      <c r="AS33" s="43"/>
      <c r="AT33" s="43"/>
    </row>
    <row r="34" ht="14.25" customHeight="1">
      <c r="A34" s="33" t="str">
        <f>IF(Status!A32="","",Status!A32)</f>
        <v>2.3.1</v>
      </c>
      <c r="B34" s="20" t="str">
        <f>IF(Status!B32="","",Status!B32)</f>
        <v>Healthy vs disease differences at gene, protein, structure and function level</v>
      </c>
      <c r="C34" s="33" t="str">
        <f>IF(Status!C32="","",Status!C32)</f>
        <v>Ferran</v>
      </c>
      <c r="D34" s="44">
        <f>IF(Status!G32="","",Status!G32)</f>
        <v>46314</v>
      </c>
      <c r="E34" s="44">
        <f>IF(Status!H32="","",Status!H32)</f>
        <v>46314</v>
      </c>
      <c r="F34" s="44" t="str">
        <f>IF(Status!J32="","",Status!J32)</f>
        <v/>
      </c>
      <c r="G34" s="44" t="str">
        <f>IF(Status!K32="","",Status!K32)</f>
        <v/>
      </c>
      <c r="H34" s="33">
        <f>IF(Status!I32="","",Status!I32)</f>
        <v>1</v>
      </c>
      <c r="I34" s="19" t="str">
        <f>IF(Status!F32="","",Status!F32)</f>
        <v>2.1.1, 2.1.3, 2.1.4</v>
      </c>
      <c r="J34" s="33" t="str">
        <f>IF(Status!L32="","",Status!L32)</f>
        <v>Pending</v>
      </c>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row>
    <row r="35" ht="14.25" customHeight="1">
      <c r="A35" s="33" t="str">
        <f>IF(Status!A33="","",Status!A33)</f>
        <v>2.3.2</v>
      </c>
      <c r="B35" s="20" t="str">
        <f>IF(Status!B33="","",Status!B33)</f>
        <v>Impact on patient function</v>
      </c>
      <c r="C35" s="33" t="str">
        <f>IF(Status!C33="","",Status!C33)</f>
        <v>Luz</v>
      </c>
      <c r="D35" s="44">
        <f>IF(Status!G33="","",Status!G33)</f>
        <v>46315</v>
      </c>
      <c r="E35" s="44">
        <f>IF(Status!H33="","",Status!H33)</f>
        <v>46315</v>
      </c>
      <c r="F35" s="44" t="str">
        <f>IF(Status!J33="","",Status!J33)</f>
        <v/>
      </c>
      <c r="G35" s="44" t="str">
        <f>IF(Status!K33="","",Status!K33)</f>
        <v/>
      </c>
      <c r="H35" s="33">
        <f>IF(Status!I33="","",Status!I33)</f>
        <v>1</v>
      </c>
      <c r="I35" s="19" t="str">
        <f>IF(Status!F33="","",Status!F33)</f>
        <v>2.3.1</v>
      </c>
      <c r="J35" s="33" t="str">
        <f>IF(Status!L33="","",Status!L33)</f>
        <v>Pending</v>
      </c>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row>
    <row r="36" ht="14.25" customHeight="1">
      <c r="A36" s="13" t="str">
        <f>IF(Status!A34="","",Status!A34)</f>
        <v>3</v>
      </c>
      <c r="B36" s="14" t="str">
        <f>IF(Status!B34="","",Status!B34)</f>
        <v>Report writing (BMC Bioinformatics format)</v>
      </c>
      <c r="C36" s="13" t="str">
        <f>IF(Status!C34="","",Status!C34)</f>
        <v/>
      </c>
      <c r="D36" s="40">
        <f>IF(Status!G34="","",Status!G34)</f>
        <v>46308</v>
      </c>
      <c r="E36" s="40">
        <f>IF(Status!H34="","",Status!H34)</f>
        <v>46318</v>
      </c>
      <c r="F36" s="40" t="str">
        <f>IF(Status!J34="","",Status!J34)</f>
        <v/>
      </c>
      <c r="G36" s="40" t="str">
        <f>IF(Status!K34="","",Status!K34)</f>
        <v/>
      </c>
      <c r="H36" s="13">
        <f>IF(Status!I34="","",Status!I34)</f>
        <v>9</v>
      </c>
      <c r="I36" s="15" t="str">
        <f>IF(Status!F34="","",Status!F34)</f>
        <v/>
      </c>
      <c r="J36" s="13" t="str">
        <f>IF(Status!L34="","",Status!L34)</f>
        <v/>
      </c>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row>
    <row r="37" ht="14.25" customHeight="1">
      <c r="A37" s="27" t="str">
        <f>IF(Status!A35="","",Status!A35)</f>
        <v>3.1</v>
      </c>
      <c r="B37" s="28" t="str">
        <f>IF(Status!B35="","",Status!B35)</f>
        <v>Background and Methods</v>
      </c>
      <c r="C37" s="27" t="str">
        <f>IF(Status!C35="","",Status!C35)</f>
        <v/>
      </c>
      <c r="D37" s="42">
        <f>IF(Status!G35="","",Status!G35)</f>
        <v>46308</v>
      </c>
      <c r="E37" s="42">
        <f>IF(Status!H35="","",Status!H35)</f>
        <v>46316</v>
      </c>
      <c r="F37" s="42" t="str">
        <f>IF(Status!J35="","",Status!J35)</f>
        <v/>
      </c>
      <c r="G37" s="42" t="str">
        <f>IF(Status!K35="","",Status!K35)</f>
        <v/>
      </c>
      <c r="H37" s="27">
        <f>IF(Status!I35="","",Status!I35)</f>
        <v>7</v>
      </c>
      <c r="I37" s="29" t="str">
        <f>IF(Status!F35="","",Status!F35)</f>
        <v/>
      </c>
      <c r="J37" s="27" t="str">
        <f>IF(Status!L35="","",Status!L35)</f>
        <v/>
      </c>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row>
    <row r="38" ht="14.25" customHeight="1">
      <c r="A38" s="33" t="str">
        <f>IF(Status!A36="","",Status!A36)</f>
        <v>3.1.1</v>
      </c>
      <c r="B38" s="20" t="str">
        <f>IF(Status!B36="","",Status!B36)</f>
        <v>Report skeleton (BMC sections) and figure plan</v>
      </c>
      <c r="C38" s="33" t="str">
        <f>IF(Status!C36="","",Status!C36)</f>
        <v>Ferran</v>
      </c>
      <c r="D38" s="44">
        <f>IF(Status!G36="","",Status!G36)</f>
        <v>46308</v>
      </c>
      <c r="E38" s="44">
        <f>IF(Status!H36="","",Status!H36)</f>
        <v>46308</v>
      </c>
      <c r="F38" s="44" t="str">
        <f>IF(Status!J36="","",Status!J36)</f>
        <v/>
      </c>
      <c r="G38" s="44" t="str">
        <f>IF(Status!K36="","",Status!K36)</f>
        <v/>
      </c>
      <c r="H38" s="33">
        <f>IF(Status!I36="","",Status!I36)</f>
        <v>1</v>
      </c>
      <c r="I38" s="19" t="str">
        <f>IF(Status!F36="","",Status!F36)</f>
        <v>1.1.2</v>
      </c>
      <c r="J38" s="33" t="str">
        <f>IF(Status!L36="","",Status!L36)</f>
        <v>Pending</v>
      </c>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row>
    <row r="39" ht="14.25" customHeight="1">
      <c r="A39" s="33" t="str">
        <f>IF(Status!A37="","",Status!A37)</f>
        <v>3.1.2</v>
      </c>
      <c r="B39" s="20" t="str">
        <f>IF(Status!B37="","",Status!B37)</f>
        <v>Background</v>
      </c>
      <c r="C39" s="33" t="str">
        <f>IF(Status!C37="","",Status!C37)</f>
        <v>Luz</v>
      </c>
      <c r="D39" s="44">
        <f>IF(Status!G37="","",Status!G37)</f>
        <v>46310</v>
      </c>
      <c r="E39" s="44">
        <f>IF(Status!H37="","",Status!H37)</f>
        <v>46311</v>
      </c>
      <c r="F39" s="44" t="str">
        <f>IF(Status!J37="","",Status!J37)</f>
        <v/>
      </c>
      <c r="G39" s="44" t="str">
        <f>IF(Status!K37="","",Status!K37)</f>
        <v/>
      </c>
      <c r="H39" s="33">
        <f>IF(Status!I37="","",Status!I37)</f>
        <v>2</v>
      </c>
      <c r="I39" s="19" t="str">
        <f>IF(Status!F37="","",Status!F37)</f>
        <v>2.1.1, 3.1.1</v>
      </c>
      <c r="J39" s="33" t="str">
        <f>IF(Status!L37="","",Status!L37)</f>
        <v>Pending</v>
      </c>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row>
    <row r="40" ht="14.25" customHeight="1">
      <c r="A40" s="33" t="str">
        <f>IF(Status!A38="","",Status!A38)</f>
        <v>3.1.3</v>
      </c>
      <c r="B40" s="20" t="str">
        <f>IF(Status!B38="","",Status!B38)</f>
        <v>Methods</v>
      </c>
      <c r="C40" s="33" t="str">
        <f>IF(Status!C38="","",Status!C38)</f>
        <v>Leyre</v>
      </c>
      <c r="D40" s="44">
        <f>IF(Status!G38="","",Status!G38)</f>
        <v>46316</v>
      </c>
      <c r="E40" s="44">
        <f>IF(Status!H38="","",Status!H38)</f>
        <v>46316</v>
      </c>
      <c r="F40" s="44" t="str">
        <f>IF(Status!J38="","",Status!J38)</f>
        <v/>
      </c>
      <c r="G40" s="44" t="str">
        <f>IF(Status!K38="","",Status!K38)</f>
        <v/>
      </c>
      <c r="H40" s="33">
        <f>IF(Status!I38="","",Status!I38)</f>
        <v>1</v>
      </c>
      <c r="I40" s="19" t="str">
        <f>IF(Status!F38="","",Status!F38)</f>
        <v>2.1.3, 2.1.4, 2.2.2</v>
      </c>
      <c r="J40" s="33" t="str">
        <f>IF(Status!L38="","",Status!L38)</f>
        <v>Pending</v>
      </c>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row>
    <row r="41" ht="14.25" customHeight="1">
      <c r="A41" s="27" t="str">
        <f>IF(Status!A39="","",Status!A39)</f>
        <v>3.2</v>
      </c>
      <c r="B41" s="28" t="str">
        <f>IF(Status!B39="","",Status!B39)</f>
        <v>Results</v>
      </c>
      <c r="C41" s="27" t="str">
        <f>IF(Status!C39="","",Status!C39)</f>
        <v/>
      </c>
      <c r="D41" s="42">
        <f>IF(Status!G39="","",Status!G39)</f>
        <v>46314</v>
      </c>
      <c r="E41" s="42">
        <f>IF(Status!H39="","",Status!H39)</f>
        <v>46315</v>
      </c>
      <c r="F41" s="42" t="str">
        <f>IF(Status!J39="","",Status!J39)</f>
        <v/>
      </c>
      <c r="G41" s="42" t="str">
        <f>IF(Status!K39="","",Status!K39)</f>
        <v/>
      </c>
      <c r="H41" s="27">
        <f>IF(Status!I39="","",Status!I39)</f>
        <v>2</v>
      </c>
      <c r="I41" s="29" t="str">
        <f>IF(Status!F39="","",Status!F39)</f>
        <v/>
      </c>
      <c r="J41" s="27" t="str">
        <f>IF(Status!L39="","",Status!L39)</f>
        <v/>
      </c>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c r="AQ41" s="43"/>
      <c r="AR41" s="43"/>
      <c r="AS41" s="43"/>
      <c r="AT41" s="43"/>
    </row>
    <row r="42" ht="14.25" customHeight="1">
      <c r="A42" s="33" t="str">
        <f>IF(Status!A40="","",Status!A40)</f>
        <v>3.2.1</v>
      </c>
      <c r="B42" s="20" t="str">
        <f>IF(Status!B40="","",Status!B40)</f>
        <v>Mutant sequence findings</v>
      </c>
      <c r="C42" s="33" t="str">
        <f>IF(Status!C40="","",Status!C40)</f>
        <v>Leyre</v>
      </c>
      <c r="D42" s="44">
        <f>IF(Status!G40="","",Status!G40)</f>
        <v>46314</v>
      </c>
      <c r="E42" s="44">
        <f>IF(Status!H40="","",Status!H40)</f>
        <v>46315</v>
      </c>
      <c r="F42" s="44" t="str">
        <f>IF(Status!J40="","",Status!J40)</f>
        <v/>
      </c>
      <c r="G42" s="44" t="str">
        <f>IF(Status!K40="","",Status!K40)</f>
        <v/>
      </c>
      <c r="H42" s="33">
        <f>IF(Status!I40="","",Status!I40)</f>
        <v>2</v>
      </c>
      <c r="I42" s="19" t="str">
        <f>IF(Status!F40="","",Status!F40)</f>
        <v>2.1.3</v>
      </c>
      <c r="J42" s="33" t="str">
        <f>IF(Status!L40="","",Status!L40)</f>
        <v>Pending</v>
      </c>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row>
    <row r="43" ht="14.25" customHeight="1">
      <c r="A43" s="33" t="str">
        <f>IF(Status!A41="","",Status!A41)</f>
        <v>3.2.2</v>
      </c>
      <c r="B43" s="20" t="str">
        <f>IF(Status!B41="","",Status!B41)</f>
        <v>Evolutionary findings</v>
      </c>
      <c r="C43" s="33" t="str">
        <f>IF(Status!C41="","",Status!C41)</f>
        <v>Noa</v>
      </c>
      <c r="D43" s="44">
        <f>IF(Status!G41="","",Status!G41)</f>
        <v>46315</v>
      </c>
      <c r="E43" s="44">
        <f>IF(Status!H41="","",Status!H41)</f>
        <v>46315</v>
      </c>
      <c r="F43" s="44" t="str">
        <f>IF(Status!J41="","",Status!J41)</f>
        <v/>
      </c>
      <c r="G43" s="44" t="str">
        <f>IF(Status!K41="","",Status!K41)</f>
        <v/>
      </c>
      <c r="H43" s="33">
        <f>IF(Status!I41="","",Status!I41)</f>
        <v>1</v>
      </c>
      <c r="I43" s="19" t="str">
        <f>IF(Status!F41="","",Status!F41)</f>
        <v>2.2.3</v>
      </c>
      <c r="J43" s="33" t="str">
        <f>IF(Status!L41="","",Status!L41)</f>
        <v>Pending</v>
      </c>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row>
    <row r="44" ht="14.25" customHeight="1">
      <c r="A44" s="33" t="str">
        <f>IF(Status!A42="","",Status!A42)</f>
        <v>3.2.3</v>
      </c>
      <c r="B44" s="20" t="str">
        <f>IF(Status!B42="","",Status!B42)</f>
        <v>Structure and functional impact findings</v>
      </c>
      <c r="C44" s="33" t="str">
        <f>IF(Status!C42="","",Status!C42)</f>
        <v>Ferran</v>
      </c>
      <c r="D44" s="44">
        <f>IF(Status!G42="","",Status!G42)</f>
        <v>46315</v>
      </c>
      <c r="E44" s="44">
        <f>IF(Status!H42="","",Status!H42)</f>
        <v>46315</v>
      </c>
      <c r="F44" s="44" t="str">
        <f>IF(Status!J42="","",Status!J42)</f>
        <v/>
      </c>
      <c r="G44" s="44" t="str">
        <f>IF(Status!K42="","",Status!K42)</f>
        <v/>
      </c>
      <c r="H44" s="33">
        <f>IF(Status!I42="","",Status!I42)</f>
        <v>1</v>
      </c>
      <c r="I44" s="19" t="str">
        <f>IF(Status!F42="","",Status!F42)</f>
        <v>2.3.1</v>
      </c>
      <c r="J44" s="33" t="str">
        <f>IF(Status!L42="","",Status!L42)</f>
        <v>Pending</v>
      </c>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row>
    <row r="45" ht="14.25" customHeight="1">
      <c r="A45" s="27" t="str">
        <f>IF(Status!A43="","",Status!A43)</f>
        <v>3.3</v>
      </c>
      <c r="B45" s="28" t="str">
        <f>IF(Status!B43="","",Status!B43)</f>
        <v>Discussion and Conclusions</v>
      </c>
      <c r="C45" s="27" t="str">
        <f>IF(Status!C43="","",Status!C43)</f>
        <v/>
      </c>
      <c r="D45" s="42">
        <f>IF(Status!G43="","",Status!G43)</f>
        <v>46316</v>
      </c>
      <c r="E45" s="42">
        <f>IF(Status!H43="","",Status!H43)</f>
        <v>46317</v>
      </c>
      <c r="F45" s="42" t="str">
        <f>IF(Status!J43="","",Status!J43)</f>
        <v/>
      </c>
      <c r="G45" s="42" t="str">
        <f>IF(Status!K43="","",Status!K43)</f>
        <v/>
      </c>
      <c r="H45" s="27">
        <f>IF(Status!I43="","",Status!I43)</f>
        <v>2</v>
      </c>
      <c r="I45" s="29" t="str">
        <f>IF(Status!F43="","",Status!F43)</f>
        <v/>
      </c>
      <c r="J45" s="27" t="str">
        <f>IF(Status!L43="","",Status!L43)</f>
        <v/>
      </c>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row>
    <row r="46" ht="14.25" customHeight="1">
      <c r="A46" s="33" t="str">
        <f>IF(Status!A44="","",Status!A44)</f>
        <v>3.3.1</v>
      </c>
      <c r="B46" s="20" t="str">
        <f>IF(Status!B44="","",Status!B44)</f>
        <v>Results interpretation</v>
      </c>
      <c r="C46" s="33" t="str">
        <f>IF(Status!C44="","",Status!C44)</f>
        <v>Noa</v>
      </c>
      <c r="D46" s="44">
        <f>IF(Status!G44="","",Status!G44)</f>
        <v>46316</v>
      </c>
      <c r="E46" s="44">
        <f>IF(Status!H44="","",Status!H44)</f>
        <v>46316</v>
      </c>
      <c r="F46" s="44" t="str">
        <f>IF(Status!J44="","",Status!J44)</f>
        <v/>
      </c>
      <c r="G46" s="44" t="str">
        <f>IF(Status!K44="","",Status!K44)</f>
        <v/>
      </c>
      <c r="H46" s="33">
        <f>IF(Status!I44="","",Status!I44)</f>
        <v>1</v>
      </c>
      <c r="I46" s="19" t="str">
        <f>IF(Status!F44="","",Status!F44)</f>
        <v>3.2.1, 3.2.2, 3.2.3</v>
      </c>
      <c r="J46" s="33" t="str">
        <f>IF(Status!L44="","",Status!L44)</f>
        <v>Pending</v>
      </c>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row>
    <row r="47" ht="14.25" customHeight="1">
      <c r="A47" s="33" t="str">
        <f>IF(Status!A45="","",Status!A45)</f>
        <v>3.3.2</v>
      </c>
      <c r="B47" s="20" t="str">
        <f>IF(Status!B45="","",Status!B45)</f>
        <v>Correlation with the disease</v>
      </c>
      <c r="C47" s="33" t="str">
        <f>IF(Status!C45="","",Status!C45)</f>
        <v>Luz</v>
      </c>
      <c r="D47" s="44">
        <f>IF(Status!G45="","",Status!G45)</f>
        <v>46316</v>
      </c>
      <c r="E47" s="44">
        <f>IF(Status!H45="","",Status!H45)</f>
        <v>46316</v>
      </c>
      <c r="F47" s="44" t="str">
        <f>IF(Status!J45="","",Status!J45)</f>
        <v/>
      </c>
      <c r="G47" s="44" t="str">
        <f>IF(Status!K45="","",Status!K45)</f>
        <v/>
      </c>
      <c r="H47" s="33">
        <f>IF(Status!I45="","",Status!I45)</f>
        <v>1</v>
      </c>
      <c r="I47" s="19" t="str">
        <f>IF(Status!F45="","",Status!F45)</f>
        <v>2.3.2, 3.2.1, 3.2.2, 3.2.3</v>
      </c>
      <c r="J47" s="33" t="str">
        <f>IF(Status!L45="","",Status!L45)</f>
        <v>Pending</v>
      </c>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row>
    <row r="48" ht="14.25" customHeight="1">
      <c r="A48" s="33" t="str">
        <f>IF(Status!A46="","",Status!A46)</f>
        <v>3.3.3</v>
      </c>
      <c r="B48" s="20" t="str">
        <f>IF(Status!B46="","",Status!B46)</f>
        <v>Conclusions</v>
      </c>
      <c r="C48" s="33" t="str">
        <f>IF(Status!C46="","",Status!C46)</f>
        <v>Luz</v>
      </c>
      <c r="D48" s="44">
        <f>IF(Status!G46="","",Status!G46)</f>
        <v>46317</v>
      </c>
      <c r="E48" s="44">
        <f>IF(Status!H46="","",Status!H46)</f>
        <v>46317</v>
      </c>
      <c r="F48" s="44" t="str">
        <f>IF(Status!J46="","",Status!J46)</f>
        <v/>
      </c>
      <c r="G48" s="44" t="str">
        <f>IF(Status!K46="","",Status!K46)</f>
        <v/>
      </c>
      <c r="H48" s="33">
        <f>IF(Status!I46="","",Status!I46)</f>
        <v>1</v>
      </c>
      <c r="I48" s="19" t="str">
        <f>IF(Status!F46="","",Status!F46)</f>
        <v>3.3.1, 3.3.2</v>
      </c>
      <c r="J48" s="33" t="str">
        <f>IF(Status!L46="","",Status!L46)</f>
        <v>Pending</v>
      </c>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row>
    <row r="49" ht="14.25" customHeight="1">
      <c r="A49" s="27" t="str">
        <f>IF(Status!A47="","",Status!A47)</f>
        <v>3.4</v>
      </c>
      <c r="B49" s="28" t="str">
        <f>IF(Status!B47="","",Status!B47)</f>
        <v>Integration and final review</v>
      </c>
      <c r="C49" s="27" t="str">
        <f>IF(Status!C47="","",Status!C47)</f>
        <v/>
      </c>
      <c r="D49" s="42">
        <f>IF(Status!G47="","",Status!G47)</f>
        <v>46316</v>
      </c>
      <c r="E49" s="42">
        <f>IF(Status!H47="","",Status!H47)</f>
        <v>46318</v>
      </c>
      <c r="F49" s="42" t="str">
        <f>IF(Status!J47="","",Status!J47)</f>
        <v/>
      </c>
      <c r="G49" s="42" t="str">
        <f>IF(Status!K47="","",Status!K47)</f>
        <v/>
      </c>
      <c r="H49" s="27">
        <f>IF(Status!I47="","",Status!I47)</f>
        <v>3</v>
      </c>
      <c r="I49" s="29" t="str">
        <f>IF(Status!F47="","",Status!F47)</f>
        <v/>
      </c>
      <c r="J49" s="27" t="str">
        <f>IF(Status!L47="","",Status!L47)</f>
        <v/>
      </c>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row>
    <row r="50" ht="14.25" customHeight="1">
      <c r="A50" s="33" t="str">
        <f>IF(Status!A48="","",Status!A48)</f>
        <v>3.4.1</v>
      </c>
      <c r="B50" s="20" t="str">
        <f>IF(Status!B48="","",Status!B48)</f>
        <v>Word-count and figure-limit check</v>
      </c>
      <c r="C50" s="33" t="str">
        <f>IF(Status!C48="","",Status!C48)</f>
        <v>Ferran</v>
      </c>
      <c r="D50" s="44">
        <f>IF(Status!G48="","",Status!G48)</f>
        <v>46316</v>
      </c>
      <c r="E50" s="44">
        <f>IF(Status!H48="","",Status!H48)</f>
        <v>46316</v>
      </c>
      <c r="F50" s="44" t="str">
        <f>IF(Status!J48="","",Status!J48)</f>
        <v/>
      </c>
      <c r="G50" s="44" t="str">
        <f>IF(Status!K48="","",Status!K48)</f>
        <v/>
      </c>
      <c r="H50" s="33">
        <f>IF(Status!I48="","",Status!I48)</f>
        <v>1</v>
      </c>
      <c r="I50" s="19" t="str">
        <f>IF(Status!F48="","",Status!F48)</f>
        <v>3.2.1, 3.2.2, 3.2.3</v>
      </c>
      <c r="J50" s="33" t="str">
        <f>IF(Status!L48="","",Status!L48)</f>
        <v>Pending</v>
      </c>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45"/>
      <c r="AT50" s="45"/>
    </row>
    <row r="51" ht="14.25" customHeight="1">
      <c r="A51" s="33" t="str">
        <f>IF(Status!A49="","",Status!A49)</f>
        <v>3.4.2</v>
      </c>
      <c r="B51" s="20" t="str">
        <f>IF(Status!B49="","",Status!B49)</f>
        <v>Integration of sections, Abstract and Keywords</v>
      </c>
      <c r="C51" s="33" t="str">
        <f>IF(Status!C49="","",Status!C49)</f>
        <v>Noa</v>
      </c>
      <c r="D51" s="44">
        <f>IF(Status!G49="","",Status!G49)</f>
        <v>46317</v>
      </c>
      <c r="E51" s="44">
        <f>IF(Status!H49="","",Status!H49)</f>
        <v>46317</v>
      </c>
      <c r="F51" s="44" t="str">
        <f>IF(Status!J49="","",Status!J49)</f>
        <v/>
      </c>
      <c r="G51" s="44" t="str">
        <f>IF(Status!K49="","",Status!K49)</f>
        <v/>
      </c>
      <c r="H51" s="33">
        <f>IF(Status!I49="","",Status!I49)</f>
        <v>1</v>
      </c>
      <c r="I51" s="19" t="str">
        <f>IF(Status!F49="","",Status!F49)</f>
        <v>3.1.3, 3.3.1, 3.3.2, 3.4.1</v>
      </c>
      <c r="J51" s="33" t="str">
        <f>IF(Status!L49="","",Status!L49)</f>
        <v>Pending</v>
      </c>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row>
    <row r="52" ht="14.25" customHeight="1">
      <c r="A52" s="33" t="str">
        <f>IF(Status!A50="","",Status!A50)</f>
        <v>3.4.3</v>
      </c>
      <c r="B52" s="20" t="str">
        <f>IF(Status!B50="","",Status!B50)</f>
        <v>Reference and citation check</v>
      </c>
      <c r="C52" s="33" t="str">
        <f>IF(Status!C50="","",Status!C50)</f>
        <v>Luz</v>
      </c>
      <c r="D52" s="44">
        <f>IF(Status!G50="","",Status!G50)</f>
        <v>46318</v>
      </c>
      <c r="E52" s="44">
        <f>IF(Status!H50="","",Status!H50)</f>
        <v>46318</v>
      </c>
      <c r="F52" s="44" t="str">
        <f>IF(Status!J50="","",Status!J50)</f>
        <v/>
      </c>
      <c r="G52" s="44" t="str">
        <f>IF(Status!K50="","",Status!K50)</f>
        <v/>
      </c>
      <c r="H52" s="33">
        <f>IF(Status!I50="","",Status!I50)</f>
        <v>1</v>
      </c>
      <c r="I52" s="19" t="str">
        <f>IF(Status!F50="","",Status!F50)</f>
        <v>1.3.3, 3.4.2</v>
      </c>
      <c r="J52" s="33" t="str">
        <f>IF(Status!L50="","",Status!L50)</f>
        <v>Pending</v>
      </c>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row>
    <row r="53" ht="14.25" customHeight="1">
      <c r="A53" s="33" t="str">
        <f>IF(Status!A51="","",Status!A51)</f>
        <v>3.4.4</v>
      </c>
      <c r="B53" s="20" t="str">
        <f>IF(Status!B51="","",Status!B51)</f>
        <v>Grammar and style check</v>
      </c>
      <c r="C53" s="33" t="str">
        <f>IF(Status!C51="","",Status!C51)</f>
        <v>Ferran</v>
      </c>
      <c r="D53" s="44">
        <f>IF(Status!G51="","",Status!G51)</f>
        <v>46318</v>
      </c>
      <c r="E53" s="44">
        <f>IF(Status!H51="","",Status!H51)</f>
        <v>46318</v>
      </c>
      <c r="F53" s="44" t="str">
        <f>IF(Status!J51="","",Status!J51)</f>
        <v/>
      </c>
      <c r="G53" s="44" t="str">
        <f>IF(Status!K51="","",Status!K51)</f>
        <v/>
      </c>
      <c r="H53" s="33">
        <f>IF(Status!I51="","",Status!I51)</f>
        <v>1</v>
      </c>
      <c r="I53" s="19" t="str">
        <f>IF(Status!F51="","",Status!F51)</f>
        <v>3.4.2</v>
      </c>
      <c r="J53" s="33" t="str">
        <f>IF(Status!L51="","",Status!L51)</f>
        <v>Pending</v>
      </c>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row>
    <row r="54" ht="14.25" customHeight="1">
      <c r="A54" s="33" t="str">
        <f>IF(Status!A52="","",Status!A52)</f>
        <v>3.4.5</v>
      </c>
      <c r="B54" s="20" t="str">
        <f>IF(Status!B52="","",Status!B52)</f>
        <v>Rubric and delivery checklist, Authors' contributions</v>
      </c>
      <c r="C54" s="33" t="str">
        <f>IF(Status!C52="","",Status!C52)</f>
        <v>Luz</v>
      </c>
      <c r="D54" s="44">
        <f>IF(Status!G52="","",Status!G52)</f>
        <v>46318</v>
      </c>
      <c r="E54" s="44">
        <f>IF(Status!H52="","",Status!H52)</f>
        <v>46318</v>
      </c>
      <c r="F54" s="44" t="str">
        <f>IF(Status!J52="","",Status!J52)</f>
        <v/>
      </c>
      <c r="G54" s="44" t="str">
        <f>IF(Status!K52="","",Status!K52)</f>
        <v/>
      </c>
      <c r="H54" s="33">
        <f>IF(Status!I52="","",Status!I52)</f>
        <v>1</v>
      </c>
      <c r="I54" s="19" t="str">
        <f>IF(Status!F52="","",Status!F52)</f>
        <v>3.3.3, 3.4.2</v>
      </c>
      <c r="J54" s="33" t="str">
        <f>IF(Status!L52="","",Status!L52)</f>
        <v>Pending</v>
      </c>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row>
    <row r="55" ht="14.25" customHeight="1">
      <c r="A55" s="13" t="str">
        <f>IF(Status!A53="","",Status!A53)</f>
        <v>4</v>
      </c>
      <c r="B55" s="14" t="str">
        <f>IF(Status!B53="","",Status!B53)</f>
        <v>Oral presentation</v>
      </c>
      <c r="C55" s="13" t="str">
        <f>IF(Status!C53="","",Status!C53)</f>
        <v/>
      </c>
      <c r="D55" s="40">
        <f>IF(Status!G53="","",Status!G53)</f>
        <v>46322</v>
      </c>
      <c r="E55" s="40">
        <f>IF(Status!H53="","",Status!H53)</f>
        <v>46330</v>
      </c>
      <c r="F55" s="40" t="str">
        <f>IF(Status!J53="","",Status!J53)</f>
        <v/>
      </c>
      <c r="G55" s="40" t="str">
        <f>IF(Status!K53="","",Status!K53)</f>
        <v/>
      </c>
      <c r="H55" s="13">
        <f>IF(Status!I53="","",Status!I53)</f>
        <v>7</v>
      </c>
      <c r="I55" s="15" t="str">
        <f>IF(Status!F53="","",Status!F53)</f>
        <v/>
      </c>
      <c r="J55" s="13" t="str">
        <f>IF(Status!L53="","",Status!L53)</f>
        <v/>
      </c>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row>
    <row r="56" ht="14.25" customHeight="1">
      <c r="A56" s="27" t="str">
        <f>IF(Status!A54="","",Status!A54)</f>
        <v>4.1</v>
      </c>
      <c r="B56" s="28" t="str">
        <f>IF(Status!B54="","",Status!B54)</f>
        <v>Presentation preparation</v>
      </c>
      <c r="C56" s="27" t="str">
        <f>IF(Status!C54="","",Status!C54)</f>
        <v/>
      </c>
      <c r="D56" s="42">
        <f>IF(Status!G54="","",Status!G54)</f>
        <v>46322</v>
      </c>
      <c r="E56" s="42">
        <f>IF(Status!H54="","",Status!H54)</f>
        <v>46330</v>
      </c>
      <c r="F56" s="42" t="str">
        <f>IF(Status!J54="","",Status!J54)</f>
        <v/>
      </c>
      <c r="G56" s="42" t="str">
        <f>IF(Status!K54="","",Status!K54)</f>
        <v/>
      </c>
      <c r="H56" s="27">
        <f>IF(Status!I54="","",Status!I54)</f>
        <v>7</v>
      </c>
      <c r="I56" s="29" t="str">
        <f>IF(Status!F54="","",Status!F54)</f>
        <v/>
      </c>
      <c r="J56" s="27" t="str">
        <f>IF(Status!L54="","",Status!L54)</f>
        <v/>
      </c>
      <c r="K56" s="43"/>
      <c r="L56" s="43"/>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c r="AL56" s="43"/>
      <c r="AM56" s="43"/>
      <c r="AN56" s="43"/>
      <c r="AO56" s="43"/>
      <c r="AP56" s="43"/>
      <c r="AQ56" s="43"/>
      <c r="AR56" s="43"/>
      <c r="AS56" s="43"/>
      <c r="AT56" s="43"/>
    </row>
    <row r="57" ht="14.25" customHeight="1">
      <c r="A57" s="33" t="str">
        <f>IF(Status!A55="","",Status!A55)</f>
        <v>4.1.1</v>
      </c>
      <c r="B57" s="20" t="str">
        <f>IF(Status!B55="","",Status!B55)</f>
        <v>Slide structure and template</v>
      </c>
      <c r="C57" s="33" t="str">
        <f>IF(Status!C55="","",Status!C55)</f>
        <v>Noa</v>
      </c>
      <c r="D57" s="44">
        <f>IF(Status!G55="","",Status!G55)</f>
        <v>46322</v>
      </c>
      <c r="E57" s="44">
        <f>IF(Status!H55="","",Status!H55)</f>
        <v>46323</v>
      </c>
      <c r="F57" s="44" t="str">
        <f>IF(Status!J55="","",Status!J55)</f>
        <v/>
      </c>
      <c r="G57" s="44" t="str">
        <f>IF(Status!K55="","",Status!K55)</f>
        <v/>
      </c>
      <c r="H57" s="33">
        <f>IF(Status!I55="","",Status!I55)</f>
        <v>2</v>
      </c>
      <c r="I57" s="19" t="str">
        <f>IF(Status!F55="","",Status!F55)</f>
        <v>3.4.5</v>
      </c>
      <c r="J57" s="33" t="str">
        <f>IF(Status!L55="","",Status!L55)</f>
        <v>Pending</v>
      </c>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row>
    <row r="58" ht="14.25" customHeight="1">
      <c r="A58" s="33" t="str">
        <f>IF(Status!A56="","",Status!A56)</f>
        <v>4.1.2</v>
      </c>
      <c r="B58" s="20" t="str">
        <f>IF(Status!B56="","",Status!B56)</f>
        <v>Slides for own section</v>
      </c>
      <c r="C58" s="33" t="str">
        <f>IF(Status!C56="","",Status!C56)</f>
        <v>All</v>
      </c>
      <c r="D58" s="44">
        <f>IF(Status!G56="","",Status!G56)</f>
        <v>46324</v>
      </c>
      <c r="E58" s="44">
        <f>IF(Status!H56="","",Status!H56)</f>
        <v>46325</v>
      </c>
      <c r="F58" s="44" t="str">
        <f>IF(Status!J56="","",Status!J56)</f>
        <v/>
      </c>
      <c r="G58" s="44" t="str">
        <f>IF(Status!K56="","",Status!K56)</f>
        <v/>
      </c>
      <c r="H58" s="33">
        <f>IF(Status!I56="","",Status!I56)</f>
        <v>2</v>
      </c>
      <c r="I58" s="19" t="str">
        <f>IF(Status!F56="","",Status!F56)</f>
        <v>4.1.1</v>
      </c>
      <c r="J58" s="33" t="str">
        <f>IF(Status!L56="","",Status!L56)</f>
        <v>Pending</v>
      </c>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45"/>
      <c r="AT58" s="45"/>
    </row>
    <row r="59" ht="14.25" customHeight="1">
      <c r="A59" s="33" t="str">
        <f>IF(Status!A57="","",Status!A57)</f>
        <v>4.1.3</v>
      </c>
      <c r="B59" s="20" t="str">
        <f>IF(Status!B57="","",Status!B57)</f>
        <v>Cross-explanation session</v>
      </c>
      <c r="C59" s="33" t="str">
        <f>IF(Status!C57="","",Status!C57)</f>
        <v>All</v>
      </c>
      <c r="D59" s="44">
        <f>IF(Status!G57="","",Status!G57)</f>
        <v>46328</v>
      </c>
      <c r="E59" s="44">
        <f>IF(Status!H57="","",Status!H57)</f>
        <v>46328</v>
      </c>
      <c r="F59" s="44" t="str">
        <f>IF(Status!J57="","",Status!J57)</f>
        <v/>
      </c>
      <c r="G59" s="44" t="str">
        <f>IF(Status!K57="","",Status!K57)</f>
        <v/>
      </c>
      <c r="H59" s="33">
        <f>IF(Status!I57="","",Status!I57)</f>
        <v>1</v>
      </c>
      <c r="I59" s="19" t="str">
        <f>IF(Status!F57="","",Status!F57)</f>
        <v>4.1.2</v>
      </c>
      <c r="J59" s="33" t="str">
        <f>IF(Status!L57="","",Status!L57)</f>
        <v>Pending</v>
      </c>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45"/>
      <c r="AT59" s="45"/>
    </row>
    <row r="60" ht="14.25" customHeight="1">
      <c r="A60" s="33" t="str">
        <f>IF(Status!A58="","",Status!A58)</f>
        <v>4.1.4</v>
      </c>
      <c r="B60" s="20" t="str">
        <f>IF(Status!B58="","",Status!B58)</f>
        <v>Rehearsal with questions</v>
      </c>
      <c r="C60" s="33" t="str">
        <f>IF(Status!C58="","",Status!C58)</f>
        <v>All</v>
      </c>
      <c r="D60" s="44">
        <f>IF(Status!G58="","",Status!G58)</f>
        <v>46329</v>
      </c>
      <c r="E60" s="44">
        <f>IF(Status!H58="","",Status!H58)</f>
        <v>46330</v>
      </c>
      <c r="F60" s="44" t="str">
        <f>IF(Status!J58="","",Status!J58)</f>
        <v/>
      </c>
      <c r="G60" s="44" t="str">
        <f>IF(Status!K58="","",Status!K58)</f>
        <v/>
      </c>
      <c r="H60" s="33">
        <f>IF(Status!I58="","",Status!I58)</f>
        <v>2</v>
      </c>
      <c r="I60" s="19" t="str">
        <f>IF(Status!F58="","",Status!F58)</f>
        <v>4.1.3</v>
      </c>
      <c r="J60" s="33" t="str">
        <f>IF(Status!L58="","",Status!L58)</f>
        <v>Pending</v>
      </c>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row>
    <row r="61" ht="14.25" customHeight="1">
      <c r="A61" s="13" t="str">
        <f>IF(Status!A59="","",Status!A59)</f>
        <v>M</v>
      </c>
      <c r="B61" s="14" t="str">
        <f>IF(Status!B59="","",Status!B59)</f>
        <v>Milestones</v>
      </c>
      <c r="C61" s="13" t="str">
        <f>IF(Status!C59="","",Status!C59)</f>
        <v/>
      </c>
      <c r="D61" s="40" t="str">
        <f>IF(Status!G59="","",Status!G59)</f>
        <v/>
      </c>
      <c r="E61" s="40" t="str">
        <f>IF(Status!H59="","",Status!H59)</f>
        <v/>
      </c>
      <c r="F61" s="40" t="str">
        <f>IF(Status!J59="","",Status!J59)</f>
        <v/>
      </c>
      <c r="G61" s="40" t="str">
        <f>IF(Status!K59="","",Status!K59)</f>
        <v/>
      </c>
      <c r="H61" s="13" t="str">
        <f>IF(Status!I59="","",Status!I59)</f>
        <v/>
      </c>
      <c r="I61" s="15" t="str">
        <f>IF(Status!F59="","",Status!F59)</f>
        <v/>
      </c>
      <c r="J61" s="13" t="str">
        <f>IF(Status!L59="","",Status!L59)</f>
        <v/>
      </c>
      <c r="K61" s="41"/>
      <c r="L61" s="41"/>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1"/>
      <c r="AS61" s="41"/>
      <c r="AT61" s="41"/>
    </row>
    <row r="62" ht="14.25" customHeight="1">
      <c r="A62" s="46" t="str">
        <f>IF(Status!A60="","",Status!A60)</f>
        <v>M1</v>
      </c>
      <c r="B62" s="47" t="str">
        <f>IF(Status!B60="","",Status!B60)</f>
        <v>Gantt v1 delivered (Moodle, 22:00)</v>
      </c>
      <c r="C62" s="46" t="str">
        <f>IF(Status!C60="","",Status!C60)</f>
        <v>—</v>
      </c>
      <c r="D62" s="50">
        <f>IF(Status!G60="","",Status!G60)</f>
        <v>46304</v>
      </c>
      <c r="E62" s="50">
        <f>IF(Status!H60="","",Status!H60)</f>
        <v>46304</v>
      </c>
      <c r="F62" s="50" t="str">
        <f>IF(Status!J60="","",Status!J60)</f>
        <v/>
      </c>
      <c r="G62" s="50" t="str">
        <f>IF(Status!K60="","",Status!K60)</f>
        <v/>
      </c>
      <c r="H62" s="46">
        <f>IF(Status!I60="","",Status!I60)</f>
        <v>0</v>
      </c>
      <c r="I62" s="48" t="str">
        <f>IF(Status!F60="","",Status!F60)</f>
        <v>1.2.3</v>
      </c>
      <c r="J62" s="46" t="str">
        <f>IF(Status!L60="","",Status!L60)</f>
        <v>Pending</v>
      </c>
      <c r="K62" s="51" t="str">
        <f t="shared" ref="K62:AT62" si="2">IF(K$6=$D62,"◆","")</f>
        <v/>
      </c>
      <c r="L62" s="51" t="str">
        <f t="shared" si="2"/>
        <v/>
      </c>
      <c r="M62" s="51" t="str">
        <f t="shared" si="2"/>
        <v/>
      </c>
      <c r="N62" s="51" t="str">
        <f t="shared" si="2"/>
        <v/>
      </c>
      <c r="O62" s="51" t="str">
        <f t="shared" si="2"/>
        <v/>
      </c>
      <c r="P62" s="51" t="str">
        <f t="shared" si="2"/>
        <v/>
      </c>
      <c r="Q62" s="51" t="str">
        <f t="shared" si="2"/>
        <v/>
      </c>
      <c r="R62" s="51" t="str">
        <f t="shared" si="2"/>
        <v/>
      </c>
      <c r="S62" s="51" t="str">
        <f t="shared" si="2"/>
        <v/>
      </c>
      <c r="T62" s="51" t="str">
        <f t="shared" si="2"/>
        <v/>
      </c>
      <c r="U62" s="51" t="str">
        <f t="shared" si="2"/>
        <v/>
      </c>
      <c r="V62" s="51" t="str">
        <f t="shared" si="2"/>
        <v/>
      </c>
      <c r="W62" s="51" t="str">
        <f t="shared" si="2"/>
        <v/>
      </c>
      <c r="X62" s="51" t="str">
        <f t="shared" si="2"/>
        <v/>
      </c>
      <c r="Y62" s="51" t="str">
        <f t="shared" si="2"/>
        <v/>
      </c>
      <c r="Z62" s="51" t="str">
        <f t="shared" si="2"/>
        <v/>
      </c>
      <c r="AA62" s="51" t="str">
        <f t="shared" si="2"/>
        <v>◆</v>
      </c>
      <c r="AB62" s="51" t="str">
        <f t="shared" si="2"/>
        <v/>
      </c>
      <c r="AC62" s="51" t="str">
        <f t="shared" si="2"/>
        <v/>
      </c>
      <c r="AD62" s="51" t="str">
        <f t="shared" si="2"/>
        <v/>
      </c>
      <c r="AE62" s="51" t="str">
        <f t="shared" si="2"/>
        <v/>
      </c>
      <c r="AF62" s="51" t="str">
        <f t="shared" si="2"/>
        <v/>
      </c>
      <c r="AG62" s="51" t="str">
        <f t="shared" si="2"/>
        <v/>
      </c>
      <c r="AH62" s="51" t="str">
        <f t="shared" si="2"/>
        <v/>
      </c>
      <c r="AI62" s="51" t="str">
        <f t="shared" si="2"/>
        <v/>
      </c>
      <c r="AJ62" s="51" t="str">
        <f t="shared" si="2"/>
        <v/>
      </c>
      <c r="AK62" s="51" t="str">
        <f t="shared" si="2"/>
        <v/>
      </c>
      <c r="AL62" s="51" t="str">
        <f t="shared" si="2"/>
        <v/>
      </c>
      <c r="AM62" s="51" t="str">
        <f t="shared" si="2"/>
        <v/>
      </c>
      <c r="AN62" s="51" t="str">
        <f t="shared" si="2"/>
        <v/>
      </c>
      <c r="AO62" s="51" t="str">
        <f t="shared" si="2"/>
        <v/>
      </c>
      <c r="AP62" s="51" t="str">
        <f t="shared" si="2"/>
        <v/>
      </c>
      <c r="AQ62" s="51" t="str">
        <f t="shared" si="2"/>
        <v/>
      </c>
      <c r="AR62" s="51" t="str">
        <f t="shared" si="2"/>
        <v/>
      </c>
      <c r="AS62" s="51" t="str">
        <f t="shared" si="2"/>
        <v/>
      </c>
      <c r="AT62" s="51" t="str">
        <f t="shared" si="2"/>
        <v/>
      </c>
    </row>
    <row r="63" ht="14.25" customHeight="1">
      <c r="A63" s="46" t="str">
        <f>IF(Status!A61="","",Status!A61)</f>
        <v>M2</v>
      </c>
      <c r="B63" s="47" t="str">
        <f>IF(Status!B61="","",Status!B61)</f>
        <v>Variants and species selected</v>
      </c>
      <c r="C63" s="46" t="str">
        <f>IF(Status!C61="","",Status!C61)</f>
        <v>—</v>
      </c>
      <c r="D63" s="50">
        <f>IF(Status!G61="","",Status!G61)</f>
        <v>46309</v>
      </c>
      <c r="E63" s="50">
        <f>IF(Status!H61="","",Status!H61)</f>
        <v>46309</v>
      </c>
      <c r="F63" s="50" t="str">
        <f>IF(Status!J61="","",Status!J61)</f>
        <v/>
      </c>
      <c r="G63" s="50" t="str">
        <f>IF(Status!K61="","",Status!K61)</f>
        <v/>
      </c>
      <c r="H63" s="46">
        <f>IF(Status!I61="","",Status!I61)</f>
        <v>0</v>
      </c>
      <c r="I63" s="48" t="str">
        <f>IF(Status!F61="","",Status!F61)</f>
        <v>2.1.2, 2.2.1</v>
      </c>
      <c r="J63" s="46" t="str">
        <f>IF(Status!L61="","",Status!L61)</f>
        <v>Pending</v>
      </c>
      <c r="K63" s="51" t="str">
        <f t="shared" ref="K63:AT63" si="3">IF(K$6=$D63,"◆","")</f>
        <v/>
      </c>
      <c r="L63" s="51" t="str">
        <f t="shared" si="3"/>
        <v/>
      </c>
      <c r="M63" s="51" t="str">
        <f t="shared" si="3"/>
        <v/>
      </c>
      <c r="N63" s="51" t="str">
        <f t="shared" si="3"/>
        <v/>
      </c>
      <c r="O63" s="51" t="str">
        <f t="shared" si="3"/>
        <v/>
      </c>
      <c r="P63" s="51" t="str">
        <f t="shared" si="3"/>
        <v/>
      </c>
      <c r="Q63" s="51" t="str">
        <f t="shared" si="3"/>
        <v/>
      </c>
      <c r="R63" s="51" t="str">
        <f t="shared" si="3"/>
        <v/>
      </c>
      <c r="S63" s="51" t="str">
        <f t="shared" si="3"/>
        <v/>
      </c>
      <c r="T63" s="51" t="str">
        <f t="shared" si="3"/>
        <v/>
      </c>
      <c r="U63" s="51" t="str">
        <f t="shared" si="3"/>
        <v/>
      </c>
      <c r="V63" s="51" t="str">
        <f t="shared" si="3"/>
        <v/>
      </c>
      <c r="W63" s="51" t="str">
        <f t="shared" si="3"/>
        <v/>
      </c>
      <c r="X63" s="51" t="str">
        <f t="shared" si="3"/>
        <v/>
      </c>
      <c r="Y63" s="51" t="str">
        <f t="shared" si="3"/>
        <v/>
      </c>
      <c r="Z63" s="51" t="str">
        <f t="shared" si="3"/>
        <v/>
      </c>
      <c r="AA63" s="51" t="str">
        <f t="shared" si="3"/>
        <v/>
      </c>
      <c r="AB63" s="51" t="str">
        <f t="shared" si="3"/>
        <v/>
      </c>
      <c r="AC63" s="51" t="str">
        <f t="shared" si="3"/>
        <v/>
      </c>
      <c r="AD63" s="51" t="str">
        <f t="shared" si="3"/>
        <v>◆</v>
      </c>
      <c r="AE63" s="51" t="str">
        <f t="shared" si="3"/>
        <v/>
      </c>
      <c r="AF63" s="51" t="str">
        <f t="shared" si="3"/>
        <v/>
      </c>
      <c r="AG63" s="51" t="str">
        <f t="shared" si="3"/>
        <v/>
      </c>
      <c r="AH63" s="51" t="str">
        <f t="shared" si="3"/>
        <v/>
      </c>
      <c r="AI63" s="51" t="str">
        <f t="shared" si="3"/>
        <v/>
      </c>
      <c r="AJ63" s="51" t="str">
        <f t="shared" si="3"/>
        <v/>
      </c>
      <c r="AK63" s="51" t="str">
        <f t="shared" si="3"/>
        <v/>
      </c>
      <c r="AL63" s="51" t="str">
        <f t="shared" si="3"/>
        <v/>
      </c>
      <c r="AM63" s="51" t="str">
        <f t="shared" si="3"/>
        <v/>
      </c>
      <c r="AN63" s="51" t="str">
        <f t="shared" si="3"/>
        <v/>
      </c>
      <c r="AO63" s="51" t="str">
        <f t="shared" si="3"/>
        <v/>
      </c>
      <c r="AP63" s="51" t="str">
        <f t="shared" si="3"/>
        <v/>
      </c>
      <c r="AQ63" s="51" t="str">
        <f t="shared" si="3"/>
        <v/>
      </c>
      <c r="AR63" s="51" t="str">
        <f t="shared" si="3"/>
        <v/>
      </c>
      <c r="AS63" s="51" t="str">
        <f t="shared" si="3"/>
        <v/>
      </c>
      <c r="AT63" s="51" t="str">
        <f t="shared" si="3"/>
        <v/>
      </c>
    </row>
    <row r="64" ht="14.25" customHeight="1">
      <c r="A64" s="46" t="str">
        <f>IF(Status!A62="","",Status!A62)</f>
        <v>M3</v>
      </c>
      <c r="B64" s="47" t="str">
        <f>IF(Status!B62="","",Status!B62)</f>
        <v>Analyses completed</v>
      </c>
      <c r="C64" s="46" t="str">
        <f>IF(Status!C62="","",Status!C62)</f>
        <v>—</v>
      </c>
      <c r="D64" s="50">
        <f>IF(Status!G62="","",Status!G62)</f>
        <v>46315</v>
      </c>
      <c r="E64" s="50">
        <f>IF(Status!H62="","",Status!H62)</f>
        <v>46315</v>
      </c>
      <c r="F64" s="50" t="str">
        <f>IF(Status!J62="","",Status!J62)</f>
        <v/>
      </c>
      <c r="G64" s="50" t="str">
        <f>IF(Status!K62="","",Status!K62)</f>
        <v/>
      </c>
      <c r="H64" s="46">
        <f>IF(Status!I62="","",Status!I62)</f>
        <v>0</v>
      </c>
      <c r="I64" s="48" t="str">
        <f>IF(Status!F62="","",Status!F62)</f>
        <v>2.2.3, 2.3.2</v>
      </c>
      <c r="J64" s="46" t="str">
        <f>IF(Status!L62="","",Status!L62)</f>
        <v>Pending</v>
      </c>
      <c r="K64" s="51" t="str">
        <f t="shared" ref="K64:AT64" si="4">IF(K$6=$D64,"◆","")</f>
        <v/>
      </c>
      <c r="L64" s="51" t="str">
        <f t="shared" si="4"/>
        <v/>
      </c>
      <c r="M64" s="51" t="str">
        <f t="shared" si="4"/>
        <v/>
      </c>
      <c r="N64" s="51" t="str">
        <f t="shared" si="4"/>
        <v/>
      </c>
      <c r="O64" s="51" t="str">
        <f t="shared" si="4"/>
        <v/>
      </c>
      <c r="P64" s="51" t="str">
        <f t="shared" si="4"/>
        <v/>
      </c>
      <c r="Q64" s="51" t="str">
        <f t="shared" si="4"/>
        <v/>
      </c>
      <c r="R64" s="51" t="str">
        <f t="shared" si="4"/>
        <v/>
      </c>
      <c r="S64" s="51" t="str">
        <f t="shared" si="4"/>
        <v/>
      </c>
      <c r="T64" s="51" t="str">
        <f t="shared" si="4"/>
        <v/>
      </c>
      <c r="U64" s="51" t="str">
        <f t="shared" si="4"/>
        <v/>
      </c>
      <c r="V64" s="51" t="str">
        <f t="shared" si="4"/>
        <v/>
      </c>
      <c r="W64" s="51" t="str">
        <f t="shared" si="4"/>
        <v/>
      </c>
      <c r="X64" s="51" t="str">
        <f t="shared" si="4"/>
        <v/>
      </c>
      <c r="Y64" s="51" t="str">
        <f t="shared" si="4"/>
        <v/>
      </c>
      <c r="Z64" s="51" t="str">
        <f t="shared" si="4"/>
        <v/>
      </c>
      <c r="AA64" s="51" t="str">
        <f t="shared" si="4"/>
        <v/>
      </c>
      <c r="AB64" s="51" t="str">
        <f t="shared" si="4"/>
        <v/>
      </c>
      <c r="AC64" s="51" t="str">
        <f t="shared" si="4"/>
        <v/>
      </c>
      <c r="AD64" s="51" t="str">
        <f t="shared" si="4"/>
        <v/>
      </c>
      <c r="AE64" s="51" t="str">
        <f t="shared" si="4"/>
        <v/>
      </c>
      <c r="AF64" s="51" t="str">
        <f t="shared" si="4"/>
        <v/>
      </c>
      <c r="AG64" s="51" t="str">
        <f t="shared" si="4"/>
        <v/>
      </c>
      <c r="AH64" s="51" t="str">
        <f t="shared" si="4"/>
        <v>◆</v>
      </c>
      <c r="AI64" s="51" t="str">
        <f t="shared" si="4"/>
        <v/>
      </c>
      <c r="AJ64" s="51" t="str">
        <f t="shared" si="4"/>
        <v/>
      </c>
      <c r="AK64" s="51" t="str">
        <f t="shared" si="4"/>
        <v/>
      </c>
      <c r="AL64" s="51" t="str">
        <f t="shared" si="4"/>
        <v/>
      </c>
      <c r="AM64" s="51" t="str">
        <f t="shared" si="4"/>
        <v/>
      </c>
      <c r="AN64" s="51" t="str">
        <f t="shared" si="4"/>
        <v/>
      </c>
      <c r="AO64" s="51" t="str">
        <f t="shared" si="4"/>
        <v/>
      </c>
      <c r="AP64" s="51" t="str">
        <f t="shared" si="4"/>
        <v/>
      </c>
      <c r="AQ64" s="51" t="str">
        <f t="shared" si="4"/>
        <v/>
      </c>
      <c r="AR64" s="51" t="str">
        <f t="shared" si="4"/>
        <v/>
      </c>
      <c r="AS64" s="51" t="str">
        <f t="shared" si="4"/>
        <v/>
      </c>
      <c r="AT64" s="51" t="str">
        <f t="shared" si="4"/>
        <v/>
      </c>
    </row>
    <row r="65" ht="14.25" customHeight="1">
      <c r="A65" s="46" t="str">
        <f>IF(Status!A63="","",Status!A63)</f>
        <v>M4</v>
      </c>
      <c r="B65" s="47" t="str">
        <f>IF(Status!B63="","",Status!B63)</f>
        <v>Content freeze</v>
      </c>
      <c r="C65" s="46" t="str">
        <f>IF(Status!C63="","",Status!C63)</f>
        <v>—</v>
      </c>
      <c r="D65" s="50">
        <f>IF(Status!G63="","",Status!G63)</f>
        <v>46316</v>
      </c>
      <c r="E65" s="50">
        <f>IF(Status!H63="","",Status!H63)</f>
        <v>46316</v>
      </c>
      <c r="F65" s="50" t="str">
        <f>IF(Status!J63="","",Status!J63)</f>
        <v/>
      </c>
      <c r="G65" s="50" t="str">
        <f>IF(Status!K63="","",Status!K63)</f>
        <v/>
      </c>
      <c r="H65" s="46">
        <f>IF(Status!I63="","",Status!I63)</f>
        <v>0</v>
      </c>
      <c r="I65" s="48" t="str">
        <f>IF(Status!F63="","",Status!F63)</f>
        <v>3.1.3, 3.3.1, 3.3.2</v>
      </c>
      <c r="J65" s="46" t="str">
        <f>IF(Status!L63="","",Status!L63)</f>
        <v>Pending</v>
      </c>
      <c r="K65" s="51" t="str">
        <f t="shared" ref="K65:AT65" si="5">IF(K$6=$D65,"◆","")</f>
        <v/>
      </c>
      <c r="L65" s="51" t="str">
        <f t="shared" si="5"/>
        <v/>
      </c>
      <c r="M65" s="51" t="str">
        <f t="shared" si="5"/>
        <v/>
      </c>
      <c r="N65" s="51" t="str">
        <f t="shared" si="5"/>
        <v/>
      </c>
      <c r="O65" s="51" t="str">
        <f t="shared" si="5"/>
        <v/>
      </c>
      <c r="P65" s="51" t="str">
        <f t="shared" si="5"/>
        <v/>
      </c>
      <c r="Q65" s="51" t="str">
        <f t="shared" si="5"/>
        <v/>
      </c>
      <c r="R65" s="51" t="str">
        <f t="shared" si="5"/>
        <v/>
      </c>
      <c r="S65" s="51" t="str">
        <f t="shared" si="5"/>
        <v/>
      </c>
      <c r="T65" s="51" t="str">
        <f t="shared" si="5"/>
        <v/>
      </c>
      <c r="U65" s="51" t="str">
        <f t="shared" si="5"/>
        <v/>
      </c>
      <c r="V65" s="51" t="str">
        <f t="shared" si="5"/>
        <v/>
      </c>
      <c r="W65" s="51" t="str">
        <f t="shared" si="5"/>
        <v/>
      </c>
      <c r="X65" s="51" t="str">
        <f t="shared" si="5"/>
        <v/>
      </c>
      <c r="Y65" s="51" t="str">
        <f t="shared" si="5"/>
        <v/>
      </c>
      <c r="Z65" s="51" t="str">
        <f t="shared" si="5"/>
        <v/>
      </c>
      <c r="AA65" s="51" t="str">
        <f t="shared" si="5"/>
        <v/>
      </c>
      <c r="AB65" s="51" t="str">
        <f t="shared" si="5"/>
        <v/>
      </c>
      <c r="AC65" s="51" t="str">
        <f t="shared" si="5"/>
        <v/>
      </c>
      <c r="AD65" s="51" t="str">
        <f t="shared" si="5"/>
        <v/>
      </c>
      <c r="AE65" s="51" t="str">
        <f t="shared" si="5"/>
        <v/>
      </c>
      <c r="AF65" s="51" t="str">
        <f t="shared" si="5"/>
        <v/>
      </c>
      <c r="AG65" s="51" t="str">
        <f t="shared" si="5"/>
        <v/>
      </c>
      <c r="AH65" s="51" t="str">
        <f t="shared" si="5"/>
        <v/>
      </c>
      <c r="AI65" s="51" t="str">
        <f t="shared" si="5"/>
        <v>◆</v>
      </c>
      <c r="AJ65" s="51" t="str">
        <f t="shared" si="5"/>
        <v/>
      </c>
      <c r="AK65" s="51" t="str">
        <f t="shared" si="5"/>
        <v/>
      </c>
      <c r="AL65" s="51" t="str">
        <f t="shared" si="5"/>
        <v/>
      </c>
      <c r="AM65" s="51" t="str">
        <f t="shared" si="5"/>
        <v/>
      </c>
      <c r="AN65" s="51" t="str">
        <f t="shared" si="5"/>
        <v/>
      </c>
      <c r="AO65" s="51" t="str">
        <f t="shared" si="5"/>
        <v/>
      </c>
      <c r="AP65" s="51" t="str">
        <f t="shared" si="5"/>
        <v/>
      </c>
      <c r="AQ65" s="51" t="str">
        <f t="shared" si="5"/>
        <v/>
      </c>
      <c r="AR65" s="51" t="str">
        <f t="shared" si="5"/>
        <v/>
      </c>
      <c r="AS65" s="51" t="str">
        <f t="shared" si="5"/>
        <v/>
      </c>
      <c r="AT65" s="51" t="str">
        <f t="shared" si="5"/>
        <v/>
      </c>
    </row>
    <row r="66" ht="14.25" customHeight="1">
      <c r="A66" s="46" t="str">
        <f>IF(Status!A64="","",Status!A64)</f>
        <v>M5</v>
      </c>
      <c r="B66" s="47" t="str">
        <f>IF(Status!B64="","",Status!B64)</f>
        <v>Status retrospective</v>
      </c>
      <c r="C66" s="46" t="str">
        <f>IF(Status!C64="","",Status!C64)</f>
        <v>—</v>
      </c>
      <c r="D66" s="50">
        <f>IF(Status!G64="","",Status!G64)</f>
        <v>46317</v>
      </c>
      <c r="E66" s="50">
        <f>IF(Status!H64="","",Status!H64)</f>
        <v>46317</v>
      </c>
      <c r="F66" s="50" t="str">
        <f>IF(Status!J64="","",Status!J64)</f>
        <v/>
      </c>
      <c r="G66" s="50" t="str">
        <f>IF(Status!K64="","",Status!K64)</f>
        <v/>
      </c>
      <c r="H66" s="46">
        <f>IF(Status!I64="","",Status!I64)</f>
        <v>0</v>
      </c>
      <c r="I66" s="48" t="str">
        <f>IF(Status!F64="","",Status!F64)</f>
        <v>1.4.3</v>
      </c>
      <c r="J66" s="46" t="str">
        <f>IF(Status!L64="","",Status!L64)</f>
        <v>Pending</v>
      </c>
      <c r="K66" s="51" t="str">
        <f t="shared" ref="K66:AT66" si="6">IF(K$6=$D66,"◆","")</f>
        <v/>
      </c>
      <c r="L66" s="51" t="str">
        <f t="shared" si="6"/>
        <v/>
      </c>
      <c r="M66" s="51" t="str">
        <f t="shared" si="6"/>
        <v/>
      </c>
      <c r="N66" s="51" t="str">
        <f t="shared" si="6"/>
        <v/>
      </c>
      <c r="O66" s="51" t="str">
        <f t="shared" si="6"/>
        <v/>
      </c>
      <c r="P66" s="51" t="str">
        <f t="shared" si="6"/>
        <v/>
      </c>
      <c r="Q66" s="51" t="str">
        <f t="shared" si="6"/>
        <v/>
      </c>
      <c r="R66" s="51" t="str">
        <f t="shared" si="6"/>
        <v/>
      </c>
      <c r="S66" s="51" t="str">
        <f t="shared" si="6"/>
        <v/>
      </c>
      <c r="T66" s="51" t="str">
        <f t="shared" si="6"/>
        <v/>
      </c>
      <c r="U66" s="51" t="str">
        <f t="shared" si="6"/>
        <v/>
      </c>
      <c r="V66" s="51" t="str">
        <f t="shared" si="6"/>
        <v/>
      </c>
      <c r="W66" s="51" t="str">
        <f t="shared" si="6"/>
        <v/>
      </c>
      <c r="X66" s="51" t="str">
        <f t="shared" si="6"/>
        <v/>
      </c>
      <c r="Y66" s="51" t="str">
        <f t="shared" si="6"/>
        <v/>
      </c>
      <c r="Z66" s="51" t="str">
        <f t="shared" si="6"/>
        <v/>
      </c>
      <c r="AA66" s="51" t="str">
        <f t="shared" si="6"/>
        <v/>
      </c>
      <c r="AB66" s="51" t="str">
        <f t="shared" si="6"/>
        <v/>
      </c>
      <c r="AC66" s="51" t="str">
        <f t="shared" si="6"/>
        <v/>
      </c>
      <c r="AD66" s="51" t="str">
        <f t="shared" si="6"/>
        <v/>
      </c>
      <c r="AE66" s="51" t="str">
        <f t="shared" si="6"/>
        <v/>
      </c>
      <c r="AF66" s="51" t="str">
        <f t="shared" si="6"/>
        <v/>
      </c>
      <c r="AG66" s="51" t="str">
        <f t="shared" si="6"/>
        <v/>
      </c>
      <c r="AH66" s="51" t="str">
        <f t="shared" si="6"/>
        <v/>
      </c>
      <c r="AI66" s="51" t="str">
        <f t="shared" si="6"/>
        <v/>
      </c>
      <c r="AJ66" s="51" t="str">
        <f t="shared" si="6"/>
        <v>◆</v>
      </c>
      <c r="AK66" s="51" t="str">
        <f t="shared" si="6"/>
        <v/>
      </c>
      <c r="AL66" s="51" t="str">
        <f t="shared" si="6"/>
        <v/>
      </c>
      <c r="AM66" s="51" t="str">
        <f t="shared" si="6"/>
        <v/>
      </c>
      <c r="AN66" s="51" t="str">
        <f t="shared" si="6"/>
        <v/>
      </c>
      <c r="AO66" s="51" t="str">
        <f t="shared" si="6"/>
        <v/>
      </c>
      <c r="AP66" s="51" t="str">
        <f t="shared" si="6"/>
        <v/>
      </c>
      <c r="AQ66" s="51" t="str">
        <f t="shared" si="6"/>
        <v/>
      </c>
      <c r="AR66" s="51" t="str">
        <f t="shared" si="6"/>
        <v/>
      </c>
      <c r="AS66" s="51" t="str">
        <f t="shared" si="6"/>
        <v/>
      </c>
      <c r="AT66" s="51" t="str">
        <f t="shared" si="6"/>
        <v/>
      </c>
    </row>
    <row r="67" ht="14.25" customHeight="1">
      <c r="A67" s="46" t="str">
        <f>IF(Status!A65="","",Status!A65)</f>
        <v>M6</v>
      </c>
      <c r="B67" s="47" t="str">
        <f>IF(Status!B65="","",Status!B65)</f>
        <v>Final delivery (GitHub, 22:00)</v>
      </c>
      <c r="C67" s="46" t="str">
        <f>IF(Status!C65="","",Status!C65)</f>
        <v>—</v>
      </c>
      <c r="D67" s="50">
        <f>IF(Status!G65="","",Status!G65)</f>
        <v>46321</v>
      </c>
      <c r="E67" s="50">
        <f>IF(Status!H65="","",Status!H65)</f>
        <v>46321</v>
      </c>
      <c r="F67" s="50" t="str">
        <f>IF(Status!J65="","",Status!J65)</f>
        <v/>
      </c>
      <c r="G67" s="50" t="str">
        <f>IF(Status!K65="","",Status!K65)</f>
        <v/>
      </c>
      <c r="H67" s="46">
        <f>IF(Status!I65="","",Status!I65)</f>
        <v>0</v>
      </c>
      <c r="I67" s="48" t="str">
        <f>IF(Status!F65="","",Status!F65)</f>
        <v>3.4.3, 3.4.4, 3.4.5</v>
      </c>
      <c r="J67" s="46" t="str">
        <f>IF(Status!L65="","",Status!L65)</f>
        <v>Pending</v>
      </c>
      <c r="K67" s="51" t="str">
        <f t="shared" ref="K67:AT67" si="7">IF(K$6=$D67,"◆","")</f>
        <v/>
      </c>
      <c r="L67" s="51" t="str">
        <f t="shared" si="7"/>
        <v/>
      </c>
      <c r="M67" s="51" t="str">
        <f t="shared" si="7"/>
        <v/>
      </c>
      <c r="N67" s="51" t="str">
        <f t="shared" si="7"/>
        <v/>
      </c>
      <c r="O67" s="51" t="str">
        <f t="shared" si="7"/>
        <v/>
      </c>
      <c r="P67" s="51" t="str">
        <f t="shared" si="7"/>
        <v/>
      </c>
      <c r="Q67" s="51" t="str">
        <f t="shared" si="7"/>
        <v/>
      </c>
      <c r="R67" s="51" t="str">
        <f t="shared" si="7"/>
        <v/>
      </c>
      <c r="S67" s="51" t="str">
        <f t="shared" si="7"/>
        <v/>
      </c>
      <c r="T67" s="51" t="str">
        <f t="shared" si="7"/>
        <v/>
      </c>
      <c r="U67" s="51" t="str">
        <f t="shared" si="7"/>
        <v/>
      </c>
      <c r="V67" s="51" t="str">
        <f t="shared" si="7"/>
        <v/>
      </c>
      <c r="W67" s="51" t="str">
        <f t="shared" si="7"/>
        <v/>
      </c>
      <c r="X67" s="51" t="str">
        <f t="shared" si="7"/>
        <v/>
      </c>
      <c r="Y67" s="51" t="str">
        <f t="shared" si="7"/>
        <v/>
      </c>
      <c r="Z67" s="51" t="str">
        <f t="shared" si="7"/>
        <v/>
      </c>
      <c r="AA67" s="51" t="str">
        <f t="shared" si="7"/>
        <v/>
      </c>
      <c r="AB67" s="51" t="str">
        <f t="shared" si="7"/>
        <v/>
      </c>
      <c r="AC67" s="51" t="str">
        <f t="shared" si="7"/>
        <v/>
      </c>
      <c r="AD67" s="51" t="str">
        <f t="shared" si="7"/>
        <v/>
      </c>
      <c r="AE67" s="51" t="str">
        <f t="shared" si="7"/>
        <v/>
      </c>
      <c r="AF67" s="51" t="str">
        <f t="shared" si="7"/>
        <v/>
      </c>
      <c r="AG67" s="51" t="str">
        <f t="shared" si="7"/>
        <v/>
      </c>
      <c r="AH67" s="51" t="str">
        <f t="shared" si="7"/>
        <v/>
      </c>
      <c r="AI67" s="51" t="str">
        <f t="shared" si="7"/>
        <v/>
      </c>
      <c r="AJ67" s="51" t="str">
        <f t="shared" si="7"/>
        <v/>
      </c>
      <c r="AK67" s="51" t="str">
        <f t="shared" si="7"/>
        <v/>
      </c>
      <c r="AL67" s="51" t="str">
        <f t="shared" si="7"/>
        <v>◆</v>
      </c>
      <c r="AM67" s="51" t="str">
        <f t="shared" si="7"/>
        <v/>
      </c>
      <c r="AN67" s="51" t="str">
        <f t="shared" si="7"/>
        <v/>
      </c>
      <c r="AO67" s="51" t="str">
        <f t="shared" si="7"/>
        <v/>
      </c>
      <c r="AP67" s="51" t="str">
        <f t="shared" si="7"/>
        <v/>
      </c>
      <c r="AQ67" s="51" t="str">
        <f t="shared" si="7"/>
        <v/>
      </c>
      <c r="AR67" s="51" t="str">
        <f t="shared" si="7"/>
        <v/>
      </c>
      <c r="AS67" s="51" t="str">
        <f t="shared" si="7"/>
        <v/>
      </c>
      <c r="AT67" s="51" t="str">
        <f t="shared" si="7"/>
        <v/>
      </c>
    </row>
    <row r="68" ht="14.25" customHeight="1">
      <c r="A68" s="46" t="str">
        <f>IF(Status!A66="","",Status!A66)</f>
        <v>M7</v>
      </c>
      <c r="B68" s="47" t="str">
        <f>IF(Status!B66="","",Status!B66)</f>
        <v>Oral presentation</v>
      </c>
      <c r="C68" s="46" t="str">
        <f>IF(Status!C66="","",Status!C66)</f>
        <v>—</v>
      </c>
      <c r="D68" s="50">
        <f>IF(Status!G66="","",Status!G66)</f>
        <v>46331</v>
      </c>
      <c r="E68" s="50">
        <f>IF(Status!H66="","",Status!H66)</f>
        <v>46331</v>
      </c>
      <c r="F68" s="50" t="str">
        <f>IF(Status!J66="","",Status!J66)</f>
        <v/>
      </c>
      <c r="G68" s="50" t="str">
        <f>IF(Status!K66="","",Status!K66)</f>
        <v/>
      </c>
      <c r="H68" s="46">
        <f>IF(Status!I66="","",Status!I66)</f>
        <v>0</v>
      </c>
      <c r="I68" s="48" t="str">
        <f>IF(Status!F66="","",Status!F66)</f>
        <v>4.1.4</v>
      </c>
      <c r="J68" s="46" t="str">
        <f>IF(Status!L66="","",Status!L66)</f>
        <v>Pending</v>
      </c>
      <c r="K68" s="51" t="str">
        <f t="shared" ref="K68:AT68" si="8">IF(K$6=$D68,"◆","")</f>
        <v/>
      </c>
      <c r="L68" s="51" t="str">
        <f t="shared" si="8"/>
        <v/>
      </c>
      <c r="M68" s="51" t="str">
        <f t="shared" si="8"/>
        <v/>
      </c>
      <c r="N68" s="51" t="str">
        <f t="shared" si="8"/>
        <v/>
      </c>
      <c r="O68" s="51" t="str">
        <f t="shared" si="8"/>
        <v/>
      </c>
      <c r="P68" s="51" t="str">
        <f t="shared" si="8"/>
        <v/>
      </c>
      <c r="Q68" s="51" t="str">
        <f t="shared" si="8"/>
        <v/>
      </c>
      <c r="R68" s="51" t="str">
        <f t="shared" si="8"/>
        <v/>
      </c>
      <c r="S68" s="51" t="str">
        <f t="shared" si="8"/>
        <v/>
      </c>
      <c r="T68" s="51" t="str">
        <f t="shared" si="8"/>
        <v/>
      </c>
      <c r="U68" s="51" t="str">
        <f t="shared" si="8"/>
        <v/>
      </c>
      <c r="V68" s="51" t="str">
        <f t="shared" si="8"/>
        <v/>
      </c>
      <c r="W68" s="51" t="str">
        <f t="shared" si="8"/>
        <v/>
      </c>
      <c r="X68" s="51" t="str">
        <f t="shared" si="8"/>
        <v/>
      </c>
      <c r="Y68" s="51" t="str">
        <f t="shared" si="8"/>
        <v/>
      </c>
      <c r="Z68" s="51" t="str">
        <f t="shared" si="8"/>
        <v/>
      </c>
      <c r="AA68" s="51" t="str">
        <f t="shared" si="8"/>
        <v/>
      </c>
      <c r="AB68" s="51" t="str">
        <f t="shared" si="8"/>
        <v/>
      </c>
      <c r="AC68" s="51" t="str">
        <f t="shared" si="8"/>
        <v/>
      </c>
      <c r="AD68" s="51" t="str">
        <f t="shared" si="8"/>
        <v/>
      </c>
      <c r="AE68" s="51" t="str">
        <f t="shared" si="8"/>
        <v/>
      </c>
      <c r="AF68" s="51" t="str">
        <f t="shared" si="8"/>
        <v/>
      </c>
      <c r="AG68" s="51" t="str">
        <f t="shared" si="8"/>
        <v/>
      </c>
      <c r="AH68" s="51" t="str">
        <f t="shared" si="8"/>
        <v/>
      </c>
      <c r="AI68" s="51" t="str">
        <f t="shared" si="8"/>
        <v/>
      </c>
      <c r="AJ68" s="51" t="str">
        <f t="shared" si="8"/>
        <v/>
      </c>
      <c r="AK68" s="51" t="str">
        <f t="shared" si="8"/>
        <v/>
      </c>
      <c r="AL68" s="51" t="str">
        <f t="shared" si="8"/>
        <v/>
      </c>
      <c r="AM68" s="51" t="str">
        <f t="shared" si="8"/>
        <v/>
      </c>
      <c r="AN68" s="51" t="str">
        <f t="shared" si="8"/>
        <v/>
      </c>
      <c r="AO68" s="51" t="str">
        <f t="shared" si="8"/>
        <v/>
      </c>
      <c r="AP68" s="51" t="str">
        <f t="shared" si="8"/>
        <v/>
      </c>
      <c r="AQ68" s="51" t="str">
        <f t="shared" si="8"/>
        <v/>
      </c>
      <c r="AR68" s="51" t="str">
        <f t="shared" si="8"/>
        <v/>
      </c>
      <c r="AS68" s="51" t="str">
        <f t="shared" si="8"/>
        <v/>
      </c>
      <c r="AT68" s="51" t="str">
        <f t="shared" si="8"/>
        <v>◆</v>
      </c>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row>
    <row r="70" ht="14.25" customHeight="1">
      <c r="A70" s="4"/>
      <c r="B70" s="9" t="s">
        <v>334</v>
      </c>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row>
    <row r="71" ht="14.25" customHeight="1">
      <c r="A71" s="52"/>
      <c r="B71" s="53" t="s">
        <v>335</v>
      </c>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row>
    <row r="72" ht="14.25" customHeight="1">
      <c r="A72" s="54"/>
      <c r="B72" s="53" t="s">
        <v>336</v>
      </c>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row>
    <row r="73" ht="14.25" customHeight="1">
      <c r="A73" s="55"/>
      <c r="B73" s="53" t="s">
        <v>337</v>
      </c>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row>
    <row r="74" ht="14.25" customHeight="1">
      <c r="A74" s="56"/>
      <c r="B74" s="53" t="s">
        <v>338</v>
      </c>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row>
    <row r="75" ht="14.25" customHeight="1">
      <c r="A75" s="57"/>
      <c r="B75" s="53" t="s">
        <v>339</v>
      </c>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row>
    <row r="76" ht="14.25" customHeight="1">
      <c r="A76" s="58"/>
      <c r="B76" s="53" t="s">
        <v>340</v>
      </c>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row>
    <row r="77" ht="14.25" customHeight="1">
      <c r="A77" s="59"/>
      <c r="B77" s="53" t="s">
        <v>341</v>
      </c>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row>
    <row r="79" ht="14.25" customHeight="1">
      <c r="A79" s="4"/>
      <c r="B79" s="53" t="s">
        <v>342</v>
      </c>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row>
  </sheetData>
  <mergeCells count="23">
    <mergeCell ref="F4:F6"/>
    <mergeCell ref="G4:G6"/>
    <mergeCell ref="D3:G3"/>
    <mergeCell ref="H3:I3"/>
    <mergeCell ref="A4:A6"/>
    <mergeCell ref="B4:B6"/>
    <mergeCell ref="C4:C6"/>
    <mergeCell ref="D4:D6"/>
    <mergeCell ref="E4:E6"/>
    <mergeCell ref="M5:Q5"/>
    <mergeCell ref="R5:V5"/>
    <mergeCell ref="W5:AA5"/>
    <mergeCell ref="AB5:AF5"/>
    <mergeCell ref="AG5:AK5"/>
    <mergeCell ref="AL5:AP5"/>
    <mergeCell ref="H4:H6"/>
    <mergeCell ref="I4:I6"/>
    <mergeCell ref="J4:J6"/>
    <mergeCell ref="K4:T4"/>
    <mergeCell ref="U4:AP4"/>
    <mergeCell ref="AQ4:AT4"/>
    <mergeCell ref="K5:L5"/>
    <mergeCell ref="AQ5:AT5"/>
  </mergeCells>
  <conditionalFormatting sqref="C7:C68">
    <cfRule type="expression" dxfId="3" priority="1">
      <formula>$C7="Luz"</formula>
    </cfRule>
  </conditionalFormatting>
  <conditionalFormatting sqref="C7:C68">
    <cfRule type="expression" dxfId="7" priority="2">
      <formula>$C7="Noa"</formula>
    </cfRule>
  </conditionalFormatting>
  <conditionalFormatting sqref="C7:C68">
    <cfRule type="expression" dxfId="5" priority="3">
      <formula>$C7="Ferran"</formula>
    </cfRule>
  </conditionalFormatting>
  <conditionalFormatting sqref="C7:C68">
    <cfRule type="expression" dxfId="8" priority="4">
      <formula>$C7="Leyre"</formula>
    </cfRule>
  </conditionalFormatting>
  <conditionalFormatting sqref="C7:C68">
    <cfRule type="expression" dxfId="9" priority="5">
      <formula>$C7="All"</formula>
    </cfRule>
  </conditionalFormatting>
  <conditionalFormatting sqref="J7:J68">
    <cfRule type="expression" dxfId="10" priority="6">
      <formula>$J7="Completed"</formula>
    </cfRule>
  </conditionalFormatting>
  <conditionalFormatting sqref="J7:J68">
    <cfRule type="expression" dxfId="11" priority="7">
      <formula>$J7="In progress"</formula>
    </cfRule>
  </conditionalFormatting>
  <conditionalFormatting sqref="J7:J68">
    <cfRule type="expression" dxfId="12" priority="8">
      <formula>$J7="Incident"</formula>
    </cfRule>
  </conditionalFormatting>
  <conditionalFormatting sqref="J7:J68">
    <cfRule type="expression" dxfId="13" priority="9">
      <formula>$J7="Pending"</formula>
    </cfRule>
  </conditionalFormatting>
  <conditionalFormatting sqref="J7:J68">
    <cfRule type="expression" dxfId="14" priority="10">
      <formula>$J7="Backlog"</formula>
    </cfRule>
  </conditionalFormatting>
  <conditionalFormatting sqref="J7:J68">
    <cfRule type="expression" dxfId="15" priority="11">
      <formula>$J7="Canceled"</formula>
    </cfRule>
  </conditionalFormatting>
  <conditionalFormatting sqref="K6:AT68">
    <cfRule type="expression" dxfId="16" priority="12">
      <formula>OR(K$6=DATE(2026,9,24),K$6=DATE(2026,10,12))</formula>
    </cfRule>
  </conditionalFormatting>
  <conditionalFormatting sqref="K7:AT68">
    <cfRule type="expression" dxfId="17" priority="13">
      <formula>AND(LEFT($A7,1)="M",K$6=$D7)</formula>
    </cfRule>
  </conditionalFormatting>
  <conditionalFormatting sqref="K7:AT68">
    <cfRule type="expression" dxfId="2" priority="14">
      <formula>AND(K$6&gt;=$D7,K$6&lt;=$E7,$J7="Completed")</formula>
    </cfRule>
  </conditionalFormatting>
  <conditionalFormatting sqref="K7:AT68">
    <cfRule type="expression" dxfId="1" priority="15">
      <formula>AND(K$6&gt;=$D7,K$6&lt;=$E7,$J7="In progress")</formula>
    </cfRule>
  </conditionalFormatting>
  <conditionalFormatting sqref="K7:AT68">
    <cfRule type="expression" dxfId="0" priority="16">
      <formula>AND(K$6&gt;=$D7,K$6&lt;=$E7,$J7="Incident")</formula>
    </cfRule>
  </conditionalFormatting>
  <conditionalFormatting sqref="K7:AT68">
    <cfRule type="expression" dxfId="18" priority="17">
      <formula>AND(K$6&gt;=$D7,K$6&lt;=$E7,$J7="Pending")</formula>
    </cfRule>
  </conditionalFormatting>
  <conditionalFormatting sqref="K7:AT68">
    <cfRule type="expression" dxfId="19" priority="18">
      <formula>AND(K$6&gt;=$D7,K$6&lt;=$E7,$J7="Backlog")</formula>
    </cfRule>
  </conditionalFormatting>
  <conditionalFormatting sqref="K7:AT68">
    <cfRule type="expression" dxfId="20" priority="19">
      <formula>AND(K$6&gt;=$D7,K$6&lt;=$E7,$J7="Canceled")</formula>
    </cfRule>
  </conditionalFormatting>
  <printOptions/>
  <pageMargins bottom="1.0" footer="0.0" header="0.0" left="0.3" right="0.3" top="1.0"/>
  <pageSetup fitToHeight="0" paperSize="8"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0"/>
  <cols>
    <col customWidth="1" min="1" max="1" width="6.13"/>
    <col customWidth="1" min="2" max="2" width="38.5"/>
    <col customWidth="1" min="3" max="3" width="11.38"/>
    <col customWidth="1" min="4" max="4" width="29.75"/>
    <col customWidth="1" min="5" max="5" width="38.5"/>
    <col customWidth="1" min="6" max="6" width="14.0"/>
    <col customWidth="1" min="7" max="8" width="9.63"/>
    <col customWidth="1" min="9" max="9" width="8.75"/>
    <col customWidth="1" min="10" max="11" width="9.63"/>
    <col customWidth="1" min="12" max="12" width="11.88"/>
    <col customWidth="1" min="13" max="13" width="35.0"/>
    <col customWidth="1" min="14" max="26" width="7.63"/>
  </cols>
  <sheetData>
    <row r="1" ht="14.25" customHeight="1">
      <c r="A1" s="1" t="s">
        <v>6</v>
      </c>
      <c r="B1" s="4"/>
      <c r="C1" s="4"/>
      <c r="D1" s="4"/>
      <c r="E1" s="4"/>
      <c r="F1" s="4"/>
      <c r="G1" s="4"/>
      <c r="H1" s="4"/>
      <c r="I1" s="4"/>
      <c r="J1" s="4"/>
      <c r="K1" s="4"/>
      <c r="L1" s="4"/>
      <c r="M1" s="4"/>
      <c r="N1" s="4"/>
      <c r="O1" s="4"/>
      <c r="P1" s="4"/>
      <c r="Q1" s="4"/>
      <c r="R1" s="4"/>
      <c r="S1" s="4"/>
      <c r="T1" s="4"/>
      <c r="U1" s="4"/>
      <c r="V1" s="4"/>
      <c r="W1" s="4"/>
      <c r="X1" s="4"/>
      <c r="Y1" s="4"/>
      <c r="Z1" s="4"/>
    </row>
    <row r="2" ht="14.25" customHeight="1">
      <c r="A2" s="5" t="s">
        <v>1</v>
      </c>
      <c r="B2" s="4"/>
      <c r="C2" s="4"/>
      <c r="D2" s="4"/>
      <c r="E2" s="4"/>
      <c r="F2" s="4"/>
      <c r="G2" s="4"/>
      <c r="H2" s="4"/>
      <c r="I2" s="4"/>
      <c r="J2" s="4"/>
      <c r="K2" s="4"/>
      <c r="L2" s="4"/>
      <c r="M2" s="4"/>
      <c r="N2" s="4"/>
      <c r="O2" s="4"/>
      <c r="P2" s="4"/>
      <c r="Q2" s="4"/>
      <c r="R2" s="4"/>
      <c r="S2" s="4"/>
      <c r="T2" s="4"/>
      <c r="U2" s="4"/>
      <c r="V2" s="4"/>
      <c r="W2" s="4"/>
      <c r="X2" s="4"/>
      <c r="Y2" s="4"/>
      <c r="Z2" s="4"/>
    </row>
    <row r="3" ht="14.25" customHeight="1">
      <c r="A3" s="6" t="s">
        <v>8</v>
      </c>
      <c r="C3" s="7">
        <v>46303.0</v>
      </c>
      <c r="D3" s="4"/>
      <c r="F3" s="8" t="s">
        <v>11</v>
      </c>
      <c r="G3" s="4"/>
      <c r="H3" s="4"/>
      <c r="I3" s="4"/>
      <c r="J3" s="4"/>
      <c r="K3" s="4"/>
      <c r="L3" s="4"/>
      <c r="M3" s="4"/>
      <c r="N3" s="4"/>
      <c r="O3" s="4"/>
      <c r="P3" s="4"/>
      <c r="Q3" s="4"/>
      <c r="R3" s="4"/>
      <c r="S3" s="4"/>
      <c r="T3" s="4"/>
      <c r="U3" s="4"/>
      <c r="V3" s="4"/>
      <c r="W3" s="4"/>
      <c r="X3" s="4"/>
      <c r="Y3" s="4"/>
      <c r="Z3" s="4"/>
    </row>
    <row r="4" ht="30.0" customHeight="1">
      <c r="A4" s="12" t="s">
        <v>12</v>
      </c>
      <c r="B4" s="12" t="s">
        <v>13</v>
      </c>
      <c r="C4" s="12" t="s">
        <v>14</v>
      </c>
      <c r="D4" s="12" t="s">
        <v>15</v>
      </c>
      <c r="E4" s="12" t="s">
        <v>16</v>
      </c>
      <c r="F4" s="12" t="s">
        <v>17</v>
      </c>
      <c r="G4" s="12" t="s">
        <v>18</v>
      </c>
      <c r="H4" s="12" t="s">
        <v>19</v>
      </c>
      <c r="I4" s="12" t="s">
        <v>20</v>
      </c>
      <c r="J4" s="12" t="s">
        <v>21</v>
      </c>
      <c r="K4" s="12" t="s">
        <v>22</v>
      </c>
      <c r="L4" s="12" t="s">
        <v>23</v>
      </c>
      <c r="M4" s="12" t="s">
        <v>24</v>
      </c>
      <c r="N4" s="4"/>
      <c r="O4" s="4"/>
      <c r="P4" s="4"/>
      <c r="Q4" s="4"/>
      <c r="R4" s="4"/>
      <c r="S4" s="4"/>
      <c r="T4" s="4"/>
      <c r="U4" s="4"/>
      <c r="V4" s="4"/>
      <c r="W4" s="4"/>
      <c r="X4" s="4"/>
      <c r="Y4" s="4"/>
      <c r="Z4" s="4"/>
    </row>
    <row r="5" ht="14.25" customHeight="1">
      <c r="A5" s="13" t="s">
        <v>25</v>
      </c>
      <c r="B5" s="14" t="s">
        <v>26</v>
      </c>
      <c r="C5" s="13"/>
      <c r="D5" s="14"/>
      <c r="E5" s="14"/>
      <c r="F5" s="15"/>
      <c r="G5" s="18">
        <f>MIN(G6:G20)</f>
        <v>46282</v>
      </c>
      <c r="H5" s="18">
        <f>MAX(H6:H20)</f>
        <v>46321</v>
      </c>
      <c r="I5" s="13">
        <f t="shared" ref="I5:I58" si="1">IF(OR(G5="",H5=""),"",NETWORKDAYS(G5,H5,{46289;46307}))</f>
        <v>26</v>
      </c>
      <c r="J5" s="18"/>
      <c r="K5" s="18"/>
      <c r="L5" s="13"/>
      <c r="M5" s="14"/>
      <c r="N5" s="4"/>
      <c r="O5" s="4"/>
      <c r="P5" s="4"/>
      <c r="Q5" s="4"/>
      <c r="R5" s="4"/>
      <c r="S5" s="4"/>
      <c r="T5" s="4"/>
      <c r="U5" s="4"/>
      <c r="V5" s="4"/>
      <c r="W5" s="4"/>
      <c r="X5" s="4"/>
      <c r="Y5" s="4"/>
      <c r="Z5" s="4"/>
    </row>
    <row r="6" ht="14.25" customHeight="1">
      <c r="A6" s="27" t="s">
        <v>53</v>
      </c>
      <c r="B6" s="28" t="s">
        <v>58</v>
      </c>
      <c r="C6" s="27"/>
      <c r="D6" s="28"/>
      <c r="E6" s="28"/>
      <c r="F6" s="29"/>
      <c r="G6" s="31">
        <f>MIN(G7:G8)</f>
        <v>46282</v>
      </c>
      <c r="H6" s="31">
        <f>MAX(H7:H8)</f>
        <v>46304</v>
      </c>
      <c r="I6" s="27">
        <f t="shared" si="1"/>
        <v>16</v>
      </c>
      <c r="J6" s="31"/>
      <c r="K6" s="31"/>
      <c r="L6" s="27"/>
      <c r="M6" s="28"/>
      <c r="N6" s="4"/>
      <c r="O6" s="4"/>
      <c r="P6" s="4"/>
      <c r="Q6" s="4"/>
      <c r="R6" s="4"/>
      <c r="S6" s="4"/>
      <c r="T6" s="4"/>
      <c r="U6" s="4"/>
      <c r="V6" s="4"/>
      <c r="W6" s="4"/>
      <c r="X6" s="4"/>
      <c r="Y6" s="4"/>
      <c r="Z6" s="4"/>
    </row>
    <row r="7" ht="14.25" customHeight="1">
      <c r="A7" s="33" t="s">
        <v>81</v>
      </c>
      <c r="B7" s="20" t="s">
        <v>83</v>
      </c>
      <c r="C7" s="33" t="s">
        <v>84</v>
      </c>
      <c r="D7" s="20" t="s">
        <v>86</v>
      </c>
      <c r="E7" s="20" t="s">
        <v>88</v>
      </c>
      <c r="F7" s="19"/>
      <c r="G7" s="34">
        <v>46282.0</v>
      </c>
      <c r="H7" s="34">
        <v>46282.0</v>
      </c>
      <c r="I7" s="33">
        <f t="shared" si="1"/>
        <v>1</v>
      </c>
      <c r="J7" s="34">
        <v>46282.0</v>
      </c>
      <c r="K7" s="34">
        <v>46282.0</v>
      </c>
      <c r="L7" s="33" t="s">
        <v>94</v>
      </c>
      <c r="M7" s="20" t="s">
        <v>96</v>
      </c>
      <c r="N7" s="4"/>
      <c r="O7" s="4"/>
      <c r="P7" s="4"/>
      <c r="Q7" s="4"/>
      <c r="R7" s="4"/>
      <c r="S7" s="4"/>
      <c r="T7" s="4"/>
      <c r="U7" s="4"/>
      <c r="V7" s="4"/>
      <c r="W7" s="4"/>
      <c r="X7" s="4"/>
      <c r="Y7" s="4"/>
      <c r="Z7" s="4"/>
    </row>
    <row r="8" ht="14.25" customHeight="1">
      <c r="A8" s="33" t="s">
        <v>100</v>
      </c>
      <c r="B8" s="20" t="s">
        <v>101</v>
      </c>
      <c r="C8" s="33" t="s">
        <v>77</v>
      </c>
      <c r="D8" s="20" t="s">
        <v>103</v>
      </c>
      <c r="E8" s="20" t="s">
        <v>106</v>
      </c>
      <c r="F8" s="19" t="s">
        <v>81</v>
      </c>
      <c r="G8" s="34">
        <v>46304.0</v>
      </c>
      <c r="H8" s="34">
        <v>46304.0</v>
      </c>
      <c r="I8" s="33">
        <f t="shared" si="1"/>
        <v>1</v>
      </c>
      <c r="J8" s="34"/>
      <c r="K8" s="34"/>
      <c r="L8" s="33" t="s">
        <v>107</v>
      </c>
      <c r="M8" s="20" t="s">
        <v>108</v>
      </c>
      <c r="N8" s="4"/>
      <c r="O8" s="4"/>
      <c r="P8" s="4"/>
      <c r="Q8" s="4"/>
      <c r="R8" s="4"/>
      <c r="S8" s="4"/>
      <c r="T8" s="4"/>
      <c r="U8" s="4"/>
      <c r="V8" s="4"/>
      <c r="W8" s="4"/>
      <c r="X8" s="4"/>
      <c r="Y8" s="4"/>
      <c r="Z8" s="4"/>
    </row>
    <row r="9" ht="14.25" customHeight="1">
      <c r="A9" s="27" t="s">
        <v>111</v>
      </c>
      <c r="B9" s="28" t="s">
        <v>112</v>
      </c>
      <c r="C9" s="27"/>
      <c r="D9" s="28"/>
      <c r="E9" s="28"/>
      <c r="F9" s="29"/>
      <c r="G9" s="31">
        <f>MIN(G10:G12)</f>
        <v>46296</v>
      </c>
      <c r="H9" s="31">
        <f>MAX(H10:H12)</f>
        <v>46304</v>
      </c>
      <c r="I9" s="27">
        <f t="shared" si="1"/>
        <v>7</v>
      </c>
      <c r="J9" s="31"/>
      <c r="K9" s="31"/>
      <c r="L9" s="27"/>
      <c r="M9" s="28"/>
      <c r="N9" s="4"/>
      <c r="O9" s="4"/>
      <c r="P9" s="4"/>
      <c r="Q9" s="4"/>
      <c r="R9" s="4"/>
      <c r="S9" s="4"/>
      <c r="T9" s="4"/>
      <c r="U9" s="4"/>
      <c r="V9" s="4"/>
      <c r="W9" s="4"/>
      <c r="X9" s="4"/>
      <c r="Y9" s="4"/>
      <c r="Z9" s="4"/>
    </row>
    <row r="10" ht="14.25" customHeight="1">
      <c r="A10" s="33" t="s">
        <v>119</v>
      </c>
      <c r="B10" s="20" t="s">
        <v>121</v>
      </c>
      <c r="C10" s="33" t="s">
        <v>123</v>
      </c>
      <c r="D10" s="20" t="s">
        <v>125</v>
      </c>
      <c r="E10" s="20" t="s">
        <v>126</v>
      </c>
      <c r="F10" s="19" t="s">
        <v>81</v>
      </c>
      <c r="G10" s="34">
        <v>46296.0</v>
      </c>
      <c r="H10" s="34">
        <v>46303.0</v>
      </c>
      <c r="I10" s="33">
        <f t="shared" si="1"/>
        <v>6</v>
      </c>
      <c r="J10" s="34">
        <v>46294.0</v>
      </c>
      <c r="K10" s="34"/>
      <c r="L10" s="33" t="s">
        <v>129</v>
      </c>
      <c r="M10" s="20" t="s">
        <v>130</v>
      </c>
      <c r="N10" s="4"/>
      <c r="O10" s="4"/>
      <c r="P10" s="4"/>
      <c r="Q10" s="4"/>
      <c r="R10" s="4"/>
      <c r="S10" s="4"/>
      <c r="T10" s="4"/>
      <c r="U10" s="4"/>
      <c r="V10" s="4"/>
      <c r="W10" s="4"/>
      <c r="X10" s="4"/>
      <c r="Y10" s="4"/>
      <c r="Z10" s="4"/>
    </row>
    <row r="11" ht="14.25" customHeight="1">
      <c r="A11" s="33" t="s">
        <v>131</v>
      </c>
      <c r="B11" s="20" t="s">
        <v>132</v>
      </c>
      <c r="C11" s="33" t="s">
        <v>77</v>
      </c>
      <c r="D11" s="37" t="s">
        <v>136</v>
      </c>
      <c r="E11" s="20" t="s">
        <v>137</v>
      </c>
      <c r="F11" s="19" t="s">
        <v>138</v>
      </c>
      <c r="G11" s="34">
        <v>46300.0</v>
      </c>
      <c r="H11" s="34">
        <v>46303.0</v>
      </c>
      <c r="I11" s="33">
        <f t="shared" si="1"/>
        <v>4</v>
      </c>
      <c r="J11" s="34">
        <v>46301.0</v>
      </c>
      <c r="K11" s="34"/>
      <c r="L11" s="33" t="s">
        <v>129</v>
      </c>
      <c r="M11" s="20"/>
      <c r="N11" s="4"/>
      <c r="O11" s="4"/>
      <c r="P11" s="4"/>
      <c r="Q11" s="4"/>
      <c r="R11" s="4"/>
      <c r="S11" s="4"/>
      <c r="T11" s="4"/>
      <c r="U11" s="4"/>
      <c r="V11" s="4"/>
      <c r="W11" s="4"/>
      <c r="X11" s="4"/>
      <c r="Y11" s="4"/>
      <c r="Z11" s="4"/>
    </row>
    <row r="12" ht="14.25" customHeight="1">
      <c r="A12" s="33" t="s">
        <v>139</v>
      </c>
      <c r="B12" s="20" t="s">
        <v>140</v>
      </c>
      <c r="C12" s="33" t="s">
        <v>47</v>
      </c>
      <c r="D12" s="20" t="s">
        <v>141</v>
      </c>
      <c r="E12" s="20" t="s">
        <v>142</v>
      </c>
      <c r="F12" s="19" t="s">
        <v>143</v>
      </c>
      <c r="G12" s="34">
        <v>46304.0</v>
      </c>
      <c r="H12" s="34">
        <v>46304.0</v>
      </c>
      <c r="I12" s="33">
        <f t="shared" si="1"/>
        <v>1</v>
      </c>
      <c r="J12" s="34"/>
      <c r="K12" s="34"/>
      <c r="L12" s="33" t="s">
        <v>107</v>
      </c>
      <c r="M12" s="20" t="s">
        <v>144</v>
      </c>
      <c r="N12" s="4"/>
      <c r="O12" s="4"/>
      <c r="P12" s="4"/>
      <c r="Q12" s="4"/>
      <c r="R12" s="4"/>
      <c r="S12" s="4"/>
      <c r="T12" s="4"/>
      <c r="U12" s="4"/>
      <c r="V12" s="4"/>
      <c r="W12" s="4"/>
      <c r="X12" s="4"/>
      <c r="Y12" s="4"/>
      <c r="Z12" s="4"/>
    </row>
    <row r="13" ht="14.25" customHeight="1">
      <c r="A13" s="27" t="s">
        <v>145</v>
      </c>
      <c r="B13" s="28" t="s">
        <v>146</v>
      </c>
      <c r="C13" s="27"/>
      <c r="D13" s="28"/>
      <c r="E13" s="28"/>
      <c r="F13" s="29"/>
      <c r="G13" s="31">
        <f>MIN(G14:G16)</f>
        <v>46301</v>
      </c>
      <c r="H13" s="31">
        <f>MAX(H14:H16)</f>
        <v>46317</v>
      </c>
      <c r="I13" s="27">
        <f t="shared" si="1"/>
        <v>12</v>
      </c>
      <c r="J13" s="31"/>
      <c r="K13" s="31"/>
      <c r="L13" s="27"/>
      <c r="M13" s="28"/>
      <c r="N13" s="4"/>
      <c r="O13" s="4"/>
      <c r="P13" s="4"/>
      <c r="Q13" s="4"/>
      <c r="R13" s="4"/>
      <c r="S13" s="4"/>
      <c r="T13" s="4"/>
      <c r="U13" s="4"/>
      <c r="V13" s="4"/>
      <c r="W13" s="4"/>
      <c r="X13" s="4"/>
      <c r="Y13" s="4"/>
      <c r="Z13" s="4"/>
    </row>
    <row r="14" ht="14.25" customHeight="1">
      <c r="A14" s="33" t="s">
        <v>147</v>
      </c>
      <c r="B14" s="20" t="s">
        <v>148</v>
      </c>
      <c r="C14" s="33" t="s">
        <v>123</v>
      </c>
      <c r="D14" s="20" t="s">
        <v>149</v>
      </c>
      <c r="E14" s="20" t="s">
        <v>150</v>
      </c>
      <c r="F14" s="19"/>
      <c r="G14" s="34">
        <v>46301.0</v>
      </c>
      <c r="H14" s="34">
        <v>46304.0</v>
      </c>
      <c r="I14" s="33">
        <f t="shared" si="1"/>
        <v>4</v>
      </c>
      <c r="J14" s="34">
        <v>46301.0</v>
      </c>
      <c r="K14" s="34"/>
      <c r="L14" s="33" t="s">
        <v>129</v>
      </c>
      <c r="M14" s="20" t="s">
        <v>151</v>
      </c>
      <c r="N14" s="4"/>
      <c r="O14" s="4"/>
      <c r="P14" s="4"/>
      <c r="Q14" s="4"/>
      <c r="R14" s="4"/>
      <c r="S14" s="4"/>
      <c r="T14" s="4"/>
      <c r="U14" s="4"/>
      <c r="V14" s="4"/>
      <c r="W14" s="4"/>
      <c r="X14" s="4"/>
      <c r="Y14" s="4"/>
      <c r="Z14" s="4"/>
    </row>
    <row r="15" ht="14.25" customHeight="1">
      <c r="A15" s="33" t="s">
        <v>152</v>
      </c>
      <c r="B15" s="20" t="s">
        <v>153</v>
      </c>
      <c r="C15" s="33" t="s">
        <v>123</v>
      </c>
      <c r="D15" s="20" t="s">
        <v>154</v>
      </c>
      <c r="E15" s="20" t="s">
        <v>155</v>
      </c>
      <c r="F15" s="19" t="s">
        <v>147</v>
      </c>
      <c r="G15" s="34">
        <v>46308.0</v>
      </c>
      <c r="H15" s="34">
        <v>46316.0</v>
      </c>
      <c r="I15" s="33">
        <f t="shared" si="1"/>
        <v>7</v>
      </c>
      <c r="J15" s="34"/>
      <c r="K15" s="34"/>
      <c r="L15" s="33" t="s">
        <v>107</v>
      </c>
      <c r="M15" s="20"/>
      <c r="N15" s="4"/>
      <c r="O15" s="4"/>
      <c r="P15" s="4"/>
      <c r="Q15" s="4"/>
      <c r="R15" s="4"/>
      <c r="S15" s="4"/>
      <c r="T15" s="4"/>
      <c r="U15" s="4"/>
      <c r="V15" s="4"/>
      <c r="W15" s="4"/>
      <c r="X15" s="4"/>
      <c r="Y15" s="4"/>
      <c r="Z15" s="4"/>
    </row>
    <row r="16" ht="14.25" customHeight="1">
      <c r="A16" s="33" t="s">
        <v>156</v>
      </c>
      <c r="B16" s="20" t="s">
        <v>157</v>
      </c>
      <c r="C16" s="33" t="s">
        <v>123</v>
      </c>
      <c r="D16" s="20" t="s">
        <v>158</v>
      </c>
      <c r="E16" s="20" t="s">
        <v>159</v>
      </c>
      <c r="F16" s="19" t="s">
        <v>147</v>
      </c>
      <c r="G16" s="34">
        <v>46310.0</v>
      </c>
      <c r="H16" s="34">
        <v>46317.0</v>
      </c>
      <c r="I16" s="33">
        <f t="shared" si="1"/>
        <v>6</v>
      </c>
      <c r="J16" s="34"/>
      <c r="K16" s="34"/>
      <c r="L16" s="33" t="s">
        <v>107</v>
      </c>
      <c r="M16" s="20" t="s">
        <v>160</v>
      </c>
      <c r="N16" s="4"/>
      <c r="O16" s="4"/>
      <c r="P16" s="4"/>
      <c r="Q16" s="4"/>
      <c r="R16" s="4"/>
      <c r="S16" s="4"/>
      <c r="T16" s="4"/>
      <c r="U16" s="4"/>
      <c r="V16" s="4"/>
      <c r="W16" s="4"/>
      <c r="X16" s="4"/>
      <c r="Y16" s="4"/>
      <c r="Z16" s="4"/>
    </row>
    <row r="17" ht="14.25" customHeight="1">
      <c r="A17" s="27" t="s">
        <v>161</v>
      </c>
      <c r="B17" s="28" t="s">
        <v>162</v>
      </c>
      <c r="C17" s="27"/>
      <c r="D17" s="28"/>
      <c r="E17" s="28"/>
      <c r="F17" s="29"/>
      <c r="G17" s="31">
        <f>MIN(G18:G20)</f>
        <v>46304</v>
      </c>
      <c r="H17" s="31">
        <f>MAX(H18:H20)</f>
        <v>46321</v>
      </c>
      <c r="I17" s="27">
        <f t="shared" si="1"/>
        <v>11</v>
      </c>
      <c r="J17" s="31"/>
      <c r="K17" s="31"/>
      <c r="L17" s="27"/>
      <c r="M17" s="28"/>
      <c r="N17" s="4"/>
      <c r="O17" s="4"/>
      <c r="P17" s="4"/>
      <c r="Q17" s="4"/>
      <c r="R17" s="4"/>
      <c r="S17" s="4"/>
      <c r="T17" s="4"/>
      <c r="U17" s="4"/>
      <c r="V17" s="4"/>
      <c r="W17" s="4"/>
      <c r="X17" s="4"/>
      <c r="Y17" s="4"/>
      <c r="Z17" s="4"/>
    </row>
    <row r="18" ht="14.25" customHeight="1">
      <c r="A18" s="33" t="s">
        <v>56</v>
      </c>
      <c r="B18" s="20" t="s">
        <v>163</v>
      </c>
      <c r="C18" s="33" t="s">
        <v>57</v>
      </c>
      <c r="D18" s="20" t="s">
        <v>164</v>
      </c>
      <c r="E18" s="20" t="s">
        <v>165</v>
      </c>
      <c r="F18" s="19" t="s">
        <v>119</v>
      </c>
      <c r="G18" s="34">
        <v>46304.0</v>
      </c>
      <c r="H18" s="34">
        <v>46321.0</v>
      </c>
      <c r="I18" s="33">
        <f t="shared" si="1"/>
        <v>11</v>
      </c>
      <c r="J18" s="34"/>
      <c r="K18" s="34"/>
      <c r="L18" s="33" t="s">
        <v>107</v>
      </c>
      <c r="M18" s="20" t="s">
        <v>166</v>
      </c>
      <c r="N18" s="4"/>
      <c r="O18" s="4"/>
      <c r="P18" s="4"/>
      <c r="Q18" s="4"/>
      <c r="R18" s="4"/>
      <c r="S18" s="4"/>
      <c r="T18" s="4"/>
      <c r="U18" s="4"/>
      <c r="V18" s="4"/>
      <c r="W18" s="4"/>
      <c r="X18" s="4"/>
      <c r="Y18" s="4"/>
      <c r="Z18" s="4"/>
    </row>
    <row r="19" ht="14.25" customHeight="1">
      <c r="A19" s="33" t="s">
        <v>167</v>
      </c>
      <c r="B19" s="20" t="s">
        <v>168</v>
      </c>
      <c r="C19" s="33" t="s">
        <v>77</v>
      </c>
      <c r="D19" s="20" t="s">
        <v>169</v>
      </c>
      <c r="E19" s="20" t="s">
        <v>170</v>
      </c>
      <c r="F19" s="19" t="s">
        <v>131</v>
      </c>
      <c r="G19" s="34">
        <v>46304.0</v>
      </c>
      <c r="H19" s="34">
        <v>46321.0</v>
      </c>
      <c r="I19" s="33">
        <f t="shared" si="1"/>
        <v>11</v>
      </c>
      <c r="J19" s="34"/>
      <c r="K19" s="34"/>
      <c r="L19" s="33" t="s">
        <v>107</v>
      </c>
      <c r="M19" s="20"/>
      <c r="N19" s="4"/>
      <c r="O19" s="4"/>
      <c r="P19" s="4"/>
      <c r="Q19" s="4"/>
      <c r="R19" s="4"/>
      <c r="S19" s="4"/>
      <c r="T19" s="4"/>
      <c r="U19" s="4"/>
      <c r="V19" s="4"/>
      <c r="W19" s="4"/>
      <c r="X19" s="4"/>
      <c r="Y19" s="4"/>
      <c r="Z19" s="4"/>
    </row>
    <row r="20" ht="14.25" customHeight="1">
      <c r="A20" s="33" t="s">
        <v>171</v>
      </c>
      <c r="B20" s="20" t="s">
        <v>172</v>
      </c>
      <c r="C20" s="33" t="s">
        <v>57</v>
      </c>
      <c r="D20" s="20" t="s">
        <v>173</v>
      </c>
      <c r="E20" s="20" t="s">
        <v>174</v>
      </c>
      <c r="F20" s="19" t="s">
        <v>175</v>
      </c>
      <c r="G20" s="34">
        <v>46316.0</v>
      </c>
      <c r="H20" s="34">
        <v>46316.0</v>
      </c>
      <c r="I20" s="33">
        <f t="shared" si="1"/>
        <v>1</v>
      </c>
      <c r="J20" s="34"/>
      <c r="K20" s="34"/>
      <c r="L20" s="33" t="s">
        <v>107</v>
      </c>
      <c r="M20" s="20"/>
      <c r="N20" s="4"/>
      <c r="O20" s="4"/>
      <c r="P20" s="4"/>
      <c r="Q20" s="4"/>
      <c r="R20" s="4"/>
      <c r="S20" s="4"/>
      <c r="T20" s="4"/>
      <c r="U20" s="4"/>
      <c r="V20" s="4"/>
      <c r="W20" s="4"/>
      <c r="X20" s="4"/>
      <c r="Y20" s="4"/>
      <c r="Z20" s="4"/>
    </row>
    <row r="21" ht="14.25" customHeight="1">
      <c r="A21" s="13" t="s">
        <v>176</v>
      </c>
      <c r="B21" s="14" t="s">
        <v>177</v>
      </c>
      <c r="C21" s="13"/>
      <c r="D21" s="14"/>
      <c r="E21" s="14"/>
      <c r="F21" s="15"/>
      <c r="G21" s="18">
        <f>MIN(G22:G33)</f>
        <v>46308</v>
      </c>
      <c r="H21" s="18">
        <f>MAX(H22:H33)</f>
        <v>46315</v>
      </c>
      <c r="I21" s="13">
        <f t="shared" si="1"/>
        <v>6</v>
      </c>
      <c r="J21" s="18"/>
      <c r="K21" s="18"/>
      <c r="L21" s="13"/>
      <c r="M21" s="14"/>
      <c r="N21" s="4"/>
      <c r="O21" s="4"/>
      <c r="P21" s="4"/>
      <c r="Q21" s="4"/>
      <c r="R21" s="4"/>
      <c r="S21" s="4"/>
      <c r="T21" s="4"/>
      <c r="U21" s="4"/>
      <c r="V21" s="4"/>
      <c r="W21" s="4"/>
      <c r="X21" s="4"/>
      <c r="Y21" s="4"/>
      <c r="Z21" s="4"/>
    </row>
    <row r="22" ht="14.25" customHeight="1">
      <c r="A22" s="27" t="s">
        <v>178</v>
      </c>
      <c r="B22" s="28" t="s">
        <v>179</v>
      </c>
      <c r="C22" s="27"/>
      <c r="D22" s="28"/>
      <c r="E22" s="28"/>
      <c r="F22" s="29"/>
      <c r="G22" s="31">
        <f>MIN(G23:G26)</f>
        <v>46308</v>
      </c>
      <c r="H22" s="31">
        <f>MAX(H23:H26)</f>
        <v>46311</v>
      </c>
      <c r="I22" s="27">
        <f t="shared" si="1"/>
        <v>4</v>
      </c>
      <c r="J22" s="31"/>
      <c r="K22" s="31"/>
      <c r="L22" s="27"/>
      <c r="M22" s="28"/>
      <c r="N22" s="4"/>
      <c r="O22" s="4"/>
      <c r="P22" s="4"/>
      <c r="Q22" s="4"/>
      <c r="R22" s="4"/>
      <c r="S22" s="4"/>
      <c r="T22" s="4"/>
      <c r="U22" s="4"/>
      <c r="V22" s="4"/>
      <c r="W22" s="4"/>
      <c r="X22" s="4"/>
      <c r="Y22" s="4"/>
      <c r="Z22" s="4"/>
    </row>
    <row r="23" ht="14.25" customHeight="1">
      <c r="A23" s="33" t="s">
        <v>180</v>
      </c>
      <c r="B23" s="20" t="s">
        <v>181</v>
      </c>
      <c r="C23" s="33" t="s">
        <v>47</v>
      </c>
      <c r="D23" s="20" t="s">
        <v>182</v>
      </c>
      <c r="E23" s="20" t="s">
        <v>183</v>
      </c>
      <c r="F23" s="19" t="s">
        <v>147</v>
      </c>
      <c r="G23" s="34">
        <v>46308.0</v>
      </c>
      <c r="H23" s="34">
        <v>46309.0</v>
      </c>
      <c r="I23" s="33">
        <f t="shared" si="1"/>
        <v>2</v>
      </c>
      <c r="J23" s="34"/>
      <c r="K23" s="34"/>
      <c r="L23" s="33" t="s">
        <v>107</v>
      </c>
      <c r="M23" s="20"/>
      <c r="N23" s="4"/>
      <c r="O23" s="4"/>
      <c r="P23" s="4"/>
      <c r="Q23" s="4"/>
      <c r="R23" s="4"/>
      <c r="S23" s="4"/>
      <c r="T23" s="4"/>
      <c r="U23" s="4"/>
      <c r="V23" s="4"/>
      <c r="W23" s="4"/>
      <c r="X23" s="4"/>
      <c r="Y23" s="4"/>
      <c r="Z23" s="4"/>
    </row>
    <row r="24" ht="14.25" customHeight="1">
      <c r="A24" s="33" t="s">
        <v>76</v>
      </c>
      <c r="B24" s="20" t="s">
        <v>184</v>
      </c>
      <c r="C24" s="33" t="s">
        <v>77</v>
      </c>
      <c r="D24" s="20" t="s">
        <v>185</v>
      </c>
      <c r="E24" s="20" t="s">
        <v>186</v>
      </c>
      <c r="F24" s="19" t="s">
        <v>147</v>
      </c>
      <c r="G24" s="34">
        <v>46308.0</v>
      </c>
      <c r="H24" s="34">
        <v>46309.0</v>
      </c>
      <c r="I24" s="33">
        <f t="shared" si="1"/>
        <v>2</v>
      </c>
      <c r="J24" s="34"/>
      <c r="K24" s="34"/>
      <c r="L24" s="33" t="s">
        <v>107</v>
      </c>
      <c r="M24" s="20" t="s">
        <v>187</v>
      </c>
      <c r="N24" s="4"/>
      <c r="O24" s="4"/>
      <c r="P24" s="4"/>
      <c r="Q24" s="4"/>
      <c r="R24" s="4"/>
      <c r="S24" s="4"/>
      <c r="T24" s="4"/>
      <c r="U24" s="4"/>
      <c r="V24" s="4"/>
      <c r="W24" s="4"/>
      <c r="X24" s="4"/>
      <c r="Y24" s="4"/>
      <c r="Z24" s="4"/>
    </row>
    <row r="25" ht="14.25" customHeight="1">
      <c r="A25" s="33" t="s">
        <v>188</v>
      </c>
      <c r="B25" s="20" t="s">
        <v>189</v>
      </c>
      <c r="C25" s="33" t="s">
        <v>77</v>
      </c>
      <c r="D25" s="20" t="s">
        <v>190</v>
      </c>
      <c r="E25" s="20" t="s">
        <v>191</v>
      </c>
      <c r="F25" s="19" t="s">
        <v>76</v>
      </c>
      <c r="G25" s="34">
        <v>46310.0</v>
      </c>
      <c r="H25" s="34">
        <v>46311.0</v>
      </c>
      <c r="I25" s="33">
        <f t="shared" si="1"/>
        <v>2</v>
      </c>
      <c r="J25" s="34"/>
      <c r="K25" s="34"/>
      <c r="L25" s="33" t="s">
        <v>107</v>
      </c>
      <c r="M25" s="20"/>
      <c r="N25" s="4"/>
      <c r="O25" s="4"/>
      <c r="P25" s="4"/>
      <c r="Q25" s="4"/>
      <c r="R25" s="4"/>
      <c r="S25" s="4"/>
      <c r="T25" s="4"/>
      <c r="U25" s="4"/>
      <c r="V25" s="4"/>
      <c r="W25" s="4"/>
      <c r="X25" s="4"/>
      <c r="Y25" s="4"/>
      <c r="Z25" s="4"/>
    </row>
    <row r="26" ht="14.25" customHeight="1">
      <c r="A26" s="33" t="s">
        <v>192</v>
      </c>
      <c r="B26" s="20" t="s">
        <v>193</v>
      </c>
      <c r="C26" s="33" t="s">
        <v>57</v>
      </c>
      <c r="D26" s="20" t="s">
        <v>194</v>
      </c>
      <c r="E26" s="20" t="s">
        <v>195</v>
      </c>
      <c r="F26" s="19" t="s">
        <v>76</v>
      </c>
      <c r="G26" s="34">
        <v>46310.0</v>
      </c>
      <c r="H26" s="34">
        <v>46311.0</v>
      </c>
      <c r="I26" s="33">
        <f t="shared" si="1"/>
        <v>2</v>
      </c>
      <c r="J26" s="34"/>
      <c r="K26" s="34"/>
      <c r="L26" s="33" t="s">
        <v>107</v>
      </c>
      <c r="M26" s="20"/>
      <c r="N26" s="4"/>
      <c r="O26" s="4"/>
      <c r="P26" s="4"/>
      <c r="Q26" s="4"/>
      <c r="R26" s="4"/>
      <c r="S26" s="4"/>
      <c r="T26" s="4"/>
      <c r="U26" s="4"/>
      <c r="V26" s="4"/>
      <c r="W26" s="4"/>
      <c r="X26" s="4"/>
      <c r="Y26" s="4"/>
      <c r="Z26" s="4"/>
    </row>
    <row r="27" ht="14.25" customHeight="1">
      <c r="A27" s="27" t="s">
        <v>196</v>
      </c>
      <c r="B27" s="28" t="s">
        <v>197</v>
      </c>
      <c r="C27" s="27"/>
      <c r="D27" s="28"/>
      <c r="E27" s="28"/>
      <c r="F27" s="29"/>
      <c r="G27" s="31">
        <f>MIN(G28:G30)</f>
        <v>46308</v>
      </c>
      <c r="H27" s="31">
        <f>MAX(H28:H30)</f>
        <v>46314</v>
      </c>
      <c r="I27" s="27">
        <f t="shared" si="1"/>
        <v>5</v>
      </c>
      <c r="J27" s="31"/>
      <c r="K27" s="31"/>
      <c r="L27" s="27"/>
      <c r="M27" s="28"/>
      <c r="N27" s="4"/>
      <c r="O27" s="4"/>
      <c r="P27" s="4"/>
      <c r="Q27" s="4"/>
      <c r="R27" s="4"/>
      <c r="S27" s="4"/>
      <c r="T27" s="4"/>
      <c r="U27" s="4"/>
      <c r="V27" s="4"/>
      <c r="W27" s="4"/>
      <c r="X27" s="4"/>
      <c r="Y27" s="4"/>
      <c r="Z27" s="4"/>
    </row>
    <row r="28" ht="14.25" customHeight="1">
      <c r="A28" s="33" t="s">
        <v>124</v>
      </c>
      <c r="B28" s="20" t="s">
        <v>198</v>
      </c>
      <c r="C28" s="33" t="s">
        <v>70</v>
      </c>
      <c r="D28" s="20" t="s">
        <v>199</v>
      </c>
      <c r="E28" s="20" t="s">
        <v>200</v>
      </c>
      <c r="F28" s="19" t="s">
        <v>147</v>
      </c>
      <c r="G28" s="34">
        <v>46308.0</v>
      </c>
      <c r="H28" s="34">
        <v>46309.0</v>
      </c>
      <c r="I28" s="33">
        <f t="shared" si="1"/>
        <v>2</v>
      </c>
      <c r="J28" s="34"/>
      <c r="K28" s="34"/>
      <c r="L28" s="33" t="s">
        <v>107</v>
      </c>
      <c r="M28" s="20" t="s">
        <v>201</v>
      </c>
      <c r="N28" s="4"/>
      <c r="O28" s="4"/>
      <c r="P28" s="4"/>
      <c r="Q28" s="4"/>
      <c r="R28" s="4"/>
      <c r="S28" s="4"/>
      <c r="T28" s="4"/>
      <c r="U28" s="4"/>
      <c r="V28" s="4"/>
      <c r="W28" s="4"/>
      <c r="X28" s="4"/>
      <c r="Y28" s="4"/>
      <c r="Z28" s="4"/>
    </row>
    <row r="29" ht="14.25" customHeight="1">
      <c r="A29" s="33" t="s">
        <v>135</v>
      </c>
      <c r="B29" s="20" t="s">
        <v>202</v>
      </c>
      <c r="C29" s="33" t="s">
        <v>70</v>
      </c>
      <c r="D29" s="20" t="s">
        <v>203</v>
      </c>
      <c r="E29" s="20" t="s">
        <v>204</v>
      </c>
      <c r="F29" s="19" t="s">
        <v>205</v>
      </c>
      <c r="G29" s="34">
        <v>46310.0</v>
      </c>
      <c r="H29" s="34">
        <v>46311.0</v>
      </c>
      <c r="I29" s="33">
        <f t="shared" si="1"/>
        <v>2</v>
      </c>
      <c r="J29" s="34"/>
      <c r="K29" s="34"/>
      <c r="L29" s="33" t="s">
        <v>107</v>
      </c>
      <c r="M29" s="20"/>
      <c r="N29" s="4"/>
      <c r="O29" s="4"/>
      <c r="P29" s="4"/>
      <c r="Q29" s="4"/>
      <c r="R29" s="4"/>
      <c r="S29" s="4"/>
      <c r="T29" s="4"/>
      <c r="U29" s="4"/>
      <c r="V29" s="4"/>
      <c r="W29" s="4"/>
      <c r="X29" s="4"/>
      <c r="Y29" s="4"/>
      <c r="Z29" s="4"/>
    </row>
    <row r="30" ht="14.25" customHeight="1">
      <c r="A30" s="33" t="s">
        <v>206</v>
      </c>
      <c r="B30" s="20" t="s">
        <v>207</v>
      </c>
      <c r="C30" s="33" t="s">
        <v>70</v>
      </c>
      <c r="D30" s="20" t="s">
        <v>208</v>
      </c>
      <c r="E30" s="20" t="s">
        <v>209</v>
      </c>
      <c r="F30" s="19" t="s">
        <v>135</v>
      </c>
      <c r="G30" s="34">
        <v>46314.0</v>
      </c>
      <c r="H30" s="34">
        <v>46314.0</v>
      </c>
      <c r="I30" s="33">
        <f t="shared" si="1"/>
        <v>1</v>
      </c>
      <c r="J30" s="34"/>
      <c r="K30" s="34"/>
      <c r="L30" s="33" t="s">
        <v>107</v>
      </c>
      <c r="M30" s="20"/>
      <c r="N30" s="4"/>
      <c r="O30" s="4"/>
      <c r="P30" s="4"/>
      <c r="Q30" s="4"/>
      <c r="R30" s="4"/>
      <c r="S30" s="4"/>
      <c r="T30" s="4"/>
      <c r="U30" s="4"/>
      <c r="V30" s="4"/>
      <c r="W30" s="4"/>
      <c r="X30" s="4"/>
      <c r="Y30" s="4"/>
      <c r="Z30" s="4"/>
    </row>
    <row r="31" ht="14.25" customHeight="1">
      <c r="A31" s="27" t="s">
        <v>210</v>
      </c>
      <c r="B31" s="28" t="s">
        <v>211</v>
      </c>
      <c r="C31" s="27"/>
      <c r="D31" s="28"/>
      <c r="E31" s="28"/>
      <c r="F31" s="29"/>
      <c r="G31" s="31">
        <f>MIN(G32:G33)</f>
        <v>46314</v>
      </c>
      <c r="H31" s="31">
        <f>MAX(H32:H33)</f>
        <v>46315</v>
      </c>
      <c r="I31" s="27">
        <f t="shared" si="1"/>
        <v>2</v>
      </c>
      <c r="J31" s="31"/>
      <c r="K31" s="31"/>
      <c r="L31" s="27"/>
      <c r="M31" s="28"/>
      <c r="N31" s="4"/>
      <c r="O31" s="4"/>
      <c r="P31" s="4"/>
      <c r="Q31" s="4"/>
      <c r="R31" s="4"/>
      <c r="S31" s="4"/>
      <c r="T31" s="4"/>
      <c r="U31" s="4"/>
      <c r="V31" s="4"/>
      <c r="W31" s="4"/>
      <c r="X31" s="4"/>
      <c r="Y31" s="4"/>
      <c r="Z31" s="4"/>
    </row>
    <row r="32" ht="14.25" customHeight="1">
      <c r="A32" s="33" t="s">
        <v>212</v>
      </c>
      <c r="B32" s="20" t="s">
        <v>213</v>
      </c>
      <c r="C32" s="33" t="s">
        <v>57</v>
      </c>
      <c r="D32" s="20" t="s">
        <v>214</v>
      </c>
      <c r="E32" s="20" t="s">
        <v>215</v>
      </c>
      <c r="F32" s="19" t="s">
        <v>216</v>
      </c>
      <c r="G32" s="34">
        <v>46314.0</v>
      </c>
      <c r="H32" s="34">
        <v>46314.0</v>
      </c>
      <c r="I32" s="33">
        <f t="shared" si="1"/>
        <v>1</v>
      </c>
      <c r="J32" s="34"/>
      <c r="K32" s="34"/>
      <c r="L32" s="33" t="s">
        <v>107</v>
      </c>
      <c r="M32" s="20"/>
      <c r="N32" s="4"/>
      <c r="O32" s="4"/>
      <c r="P32" s="4"/>
      <c r="Q32" s="4"/>
      <c r="R32" s="4"/>
      <c r="S32" s="4"/>
      <c r="T32" s="4"/>
      <c r="U32" s="4"/>
      <c r="V32" s="4"/>
      <c r="W32" s="4"/>
      <c r="X32" s="4"/>
      <c r="Y32" s="4"/>
      <c r="Z32" s="4"/>
    </row>
    <row r="33" ht="14.25" customHeight="1">
      <c r="A33" s="33" t="s">
        <v>217</v>
      </c>
      <c r="B33" s="20" t="s">
        <v>218</v>
      </c>
      <c r="C33" s="33" t="s">
        <v>47</v>
      </c>
      <c r="D33" s="20" t="s">
        <v>219</v>
      </c>
      <c r="E33" s="20" t="s">
        <v>220</v>
      </c>
      <c r="F33" s="19" t="s">
        <v>212</v>
      </c>
      <c r="G33" s="34">
        <v>46315.0</v>
      </c>
      <c r="H33" s="34">
        <v>46315.0</v>
      </c>
      <c r="I33" s="33">
        <f t="shared" si="1"/>
        <v>1</v>
      </c>
      <c r="J33" s="34"/>
      <c r="K33" s="34"/>
      <c r="L33" s="33" t="s">
        <v>107</v>
      </c>
      <c r="M33" s="20"/>
      <c r="N33" s="4"/>
      <c r="O33" s="4"/>
      <c r="P33" s="4"/>
      <c r="Q33" s="4"/>
      <c r="R33" s="4"/>
      <c r="S33" s="4"/>
      <c r="T33" s="4"/>
      <c r="U33" s="4"/>
      <c r="V33" s="4"/>
      <c r="W33" s="4"/>
      <c r="X33" s="4"/>
      <c r="Y33" s="4"/>
      <c r="Z33" s="4"/>
    </row>
    <row r="34" ht="14.25" customHeight="1">
      <c r="A34" s="13" t="s">
        <v>221</v>
      </c>
      <c r="B34" s="14" t="s">
        <v>222</v>
      </c>
      <c r="C34" s="13"/>
      <c r="D34" s="14"/>
      <c r="E34" s="14"/>
      <c r="F34" s="15"/>
      <c r="G34" s="18">
        <f>MIN(G35:G52)</f>
        <v>46308</v>
      </c>
      <c r="H34" s="18">
        <f>MAX(H35:H52)</f>
        <v>46318</v>
      </c>
      <c r="I34" s="13">
        <f t="shared" si="1"/>
        <v>9</v>
      </c>
      <c r="J34" s="18"/>
      <c r="K34" s="18"/>
      <c r="L34" s="13"/>
      <c r="M34" s="14"/>
      <c r="N34" s="4"/>
      <c r="O34" s="4"/>
      <c r="P34" s="4"/>
      <c r="Q34" s="4"/>
      <c r="R34" s="4"/>
      <c r="S34" s="4"/>
      <c r="T34" s="4"/>
      <c r="U34" s="4"/>
      <c r="V34" s="4"/>
      <c r="W34" s="4"/>
      <c r="X34" s="4"/>
      <c r="Y34" s="4"/>
      <c r="Z34" s="4"/>
    </row>
    <row r="35" ht="14.25" customHeight="1">
      <c r="A35" s="27" t="s">
        <v>223</v>
      </c>
      <c r="B35" s="28" t="s">
        <v>224</v>
      </c>
      <c r="C35" s="27"/>
      <c r="D35" s="28"/>
      <c r="E35" s="28"/>
      <c r="F35" s="29"/>
      <c r="G35" s="31">
        <f>MIN(G36:G38)</f>
        <v>46308</v>
      </c>
      <c r="H35" s="31">
        <f>MAX(H36:H38)</f>
        <v>46316</v>
      </c>
      <c r="I35" s="27">
        <f t="shared" si="1"/>
        <v>7</v>
      </c>
      <c r="J35" s="31"/>
      <c r="K35" s="31"/>
      <c r="L35" s="27"/>
      <c r="M35" s="28"/>
      <c r="N35" s="4"/>
      <c r="O35" s="4"/>
      <c r="P35" s="4"/>
      <c r="Q35" s="4"/>
      <c r="R35" s="4"/>
      <c r="S35" s="4"/>
      <c r="T35" s="4"/>
      <c r="U35" s="4"/>
      <c r="V35" s="4"/>
      <c r="W35" s="4"/>
      <c r="X35" s="4"/>
      <c r="Y35" s="4"/>
      <c r="Z35" s="4"/>
    </row>
    <row r="36" ht="14.25" customHeight="1">
      <c r="A36" s="33" t="s">
        <v>225</v>
      </c>
      <c r="B36" s="20" t="s">
        <v>226</v>
      </c>
      <c r="C36" s="33" t="s">
        <v>57</v>
      </c>
      <c r="D36" s="20" t="s">
        <v>227</v>
      </c>
      <c r="E36" s="20" t="s">
        <v>228</v>
      </c>
      <c r="F36" s="19" t="s">
        <v>100</v>
      </c>
      <c r="G36" s="34">
        <v>46308.0</v>
      </c>
      <c r="H36" s="34">
        <v>46308.0</v>
      </c>
      <c r="I36" s="33">
        <f t="shared" si="1"/>
        <v>1</v>
      </c>
      <c r="J36" s="34"/>
      <c r="K36" s="34"/>
      <c r="L36" s="33" t="s">
        <v>107</v>
      </c>
      <c r="M36" s="20"/>
      <c r="N36" s="4"/>
      <c r="O36" s="4"/>
      <c r="P36" s="4"/>
      <c r="Q36" s="4"/>
      <c r="R36" s="4"/>
      <c r="S36" s="4"/>
      <c r="T36" s="4"/>
      <c r="U36" s="4"/>
      <c r="V36" s="4"/>
      <c r="W36" s="4"/>
      <c r="X36" s="4"/>
      <c r="Y36" s="4"/>
      <c r="Z36" s="4"/>
    </row>
    <row r="37" ht="14.25" customHeight="1">
      <c r="A37" s="33" t="s">
        <v>229</v>
      </c>
      <c r="B37" s="20" t="s">
        <v>230</v>
      </c>
      <c r="C37" s="33" t="s">
        <v>47</v>
      </c>
      <c r="D37" s="20" t="s">
        <v>231</v>
      </c>
      <c r="E37" s="20" t="s">
        <v>232</v>
      </c>
      <c r="F37" s="19" t="s">
        <v>233</v>
      </c>
      <c r="G37" s="34">
        <v>46310.0</v>
      </c>
      <c r="H37" s="34">
        <v>46311.0</v>
      </c>
      <c r="I37" s="33">
        <f t="shared" si="1"/>
        <v>2</v>
      </c>
      <c r="J37" s="34"/>
      <c r="K37" s="34"/>
      <c r="L37" s="33" t="s">
        <v>107</v>
      </c>
      <c r="M37" s="20"/>
      <c r="N37" s="4"/>
      <c r="O37" s="4"/>
      <c r="P37" s="4"/>
      <c r="Q37" s="4"/>
      <c r="R37" s="4"/>
      <c r="S37" s="4"/>
      <c r="T37" s="4"/>
      <c r="U37" s="4"/>
      <c r="V37" s="4"/>
      <c r="W37" s="4"/>
      <c r="X37" s="4"/>
      <c r="Y37" s="4"/>
      <c r="Z37" s="4"/>
    </row>
    <row r="38" ht="14.25" customHeight="1">
      <c r="A38" s="33" t="s">
        <v>234</v>
      </c>
      <c r="B38" s="20" t="s">
        <v>235</v>
      </c>
      <c r="C38" s="33" t="s">
        <v>77</v>
      </c>
      <c r="D38" s="20" t="s">
        <v>236</v>
      </c>
      <c r="E38" s="20" t="s">
        <v>237</v>
      </c>
      <c r="F38" s="19" t="s">
        <v>238</v>
      </c>
      <c r="G38" s="34">
        <v>46316.0</v>
      </c>
      <c r="H38" s="34">
        <v>46316.0</v>
      </c>
      <c r="I38" s="33">
        <f t="shared" si="1"/>
        <v>1</v>
      </c>
      <c r="J38" s="34"/>
      <c r="K38" s="34"/>
      <c r="L38" s="33" t="s">
        <v>107</v>
      </c>
      <c r="M38" s="20"/>
      <c r="N38" s="4"/>
      <c r="O38" s="4"/>
      <c r="P38" s="4"/>
      <c r="Q38" s="4"/>
      <c r="R38" s="4"/>
      <c r="S38" s="4"/>
      <c r="T38" s="4"/>
      <c r="U38" s="4"/>
      <c r="V38" s="4"/>
      <c r="W38" s="4"/>
      <c r="X38" s="4"/>
      <c r="Y38" s="4"/>
      <c r="Z38" s="4"/>
    </row>
    <row r="39" ht="14.25" customHeight="1">
      <c r="A39" s="27" t="s">
        <v>239</v>
      </c>
      <c r="B39" s="28" t="s">
        <v>240</v>
      </c>
      <c r="C39" s="27"/>
      <c r="D39" s="28"/>
      <c r="E39" s="28"/>
      <c r="F39" s="29"/>
      <c r="G39" s="31">
        <f>MIN(G40:G42)</f>
        <v>46314</v>
      </c>
      <c r="H39" s="31">
        <f>MAX(H40:H42)</f>
        <v>46315</v>
      </c>
      <c r="I39" s="27">
        <f t="shared" si="1"/>
        <v>2</v>
      </c>
      <c r="J39" s="31"/>
      <c r="K39" s="31"/>
      <c r="L39" s="27"/>
      <c r="M39" s="28"/>
      <c r="N39" s="4"/>
      <c r="O39" s="4"/>
      <c r="P39" s="4"/>
      <c r="Q39" s="4"/>
      <c r="R39" s="4"/>
      <c r="S39" s="4"/>
      <c r="T39" s="4"/>
      <c r="U39" s="4"/>
      <c r="V39" s="4"/>
      <c r="W39" s="4"/>
      <c r="X39" s="4"/>
      <c r="Y39" s="4"/>
      <c r="Z39" s="4"/>
    </row>
    <row r="40" ht="14.25" customHeight="1">
      <c r="A40" s="33" t="s">
        <v>241</v>
      </c>
      <c r="B40" s="20" t="s">
        <v>242</v>
      </c>
      <c r="C40" s="33" t="s">
        <v>77</v>
      </c>
      <c r="D40" s="20" t="s">
        <v>243</v>
      </c>
      <c r="E40" s="20" t="s">
        <v>244</v>
      </c>
      <c r="F40" s="19" t="s">
        <v>188</v>
      </c>
      <c r="G40" s="34">
        <v>46314.0</v>
      </c>
      <c r="H40" s="34">
        <v>46315.0</v>
      </c>
      <c r="I40" s="33">
        <f t="shared" si="1"/>
        <v>2</v>
      </c>
      <c r="J40" s="34"/>
      <c r="K40" s="34"/>
      <c r="L40" s="33" t="s">
        <v>107</v>
      </c>
      <c r="M40" s="20"/>
      <c r="N40" s="4"/>
      <c r="O40" s="4"/>
      <c r="P40" s="4"/>
      <c r="Q40" s="4"/>
      <c r="R40" s="4"/>
      <c r="S40" s="4"/>
      <c r="T40" s="4"/>
      <c r="U40" s="4"/>
      <c r="V40" s="4"/>
      <c r="W40" s="4"/>
      <c r="X40" s="4"/>
      <c r="Y40" s="4"/>
      <c r="Z40" s="4"/>
    </row>
    <row r="41" ht="14.25" customHeight="1">
      <c r="A41" s="33" t="s">
        <v>245</v>
      </c>
      <c r="B41" s="20" t="s">
        <v>246</v>
      </c>
      <c r="C41" s="33" t="s">
        <v>70</v>
      </c>
      <c r="D41" s="20" t="s">
        <v>243</v>
      </c>
      <c r="E41" s="20" t="s">
        <v>247</v>
      </c>
      <c r="F41" s="19" t="s">
        <v>206</v>
      </c>
      <c r="G41" s="34">
        <v>46315.0</v>
      </c>
      <c r="H41" s="34">
        <v>46315.0</v>
      </c>
      <c r="I41" s="33">
        <f t="shared" si="1"/>
        <v>1</v>
      </c>
      <c r="J41" s="34"/>
      <c r="K41" s="34"/>
      <c r="L41" s="33" t="s">
        <v>107</v>
      </c>
      <c r="M41" s="20"/>
      <c r="N41" s="4"/>
      <c r="O41" s="4"/>
      <c r="P41" s="4"/>
      <c r="Q41" s="4"/>
      <c r="R41" s="4"/>
      <c r="S41" s="4"/>
      <c r="T41" s="4"/>
      <c r="U41" s="4"/>
      <c r="V41" s="4"/>
      <c r="W41" s="4"/>
      <c r="X41" s="4"/>
      <c r="Y41" s="4"/>
      <c r="Z41" s="4"/>
    </row>
    <row r="42" ht="14.25" customHeight="1">
      <c r="A42" s="33" t="s">
        <v>248</v>
      </c>
      <c r="B42" s="20" t="s">
        <v>249</v>
      </c>
      <c r="C42" s="33" t="s">
        <v>57</v>
      </c>
      <c r="D42" s="20" t="s">
        <v>243</v>
      </c>
      <c r="E42" s="20" t="s">
        <v>250</v>
      </c>
      <c r="F42" s="19" t="s">
        <v>212</v>
      </c>
      <c r="G42" s="34">
        <v>46315.0</v>
      </c>
      <c r="H42" s="34">
        <v>46315.0</v>
      </c>
      <c r="I42" s="33">
        <f t="shared" si="1"/>
        <v>1</v>
      </c>
      <c r="J42" s="34"/>
      <c r="K42" s="34"/>
      <c r="L42" s="33" t="s">
        <v>107</v>
      </c>
      <c r="M42" s="20"/>
      <c r="N42" s="4"/>
      <c r="O42" s="4"/>
      <c r="P42" s="4"/>
      <c r="Q42" s="4"/>
      <c r="R42" s="4"/>
      <c r="S42" s="4"/>
      <c r="T42" s="4"/>
      <c r="U42" s="4"/>
      <c r="V42" s="4"/>
      <c r="W42" s="4"/>
      <c r="X42" s="4"/>
      <c r="Y42" s="4"/>
      <c r="Z42" s="4"/>
    </row>
    <row r="43" ht="14.25" customHeight="1">
      <c r="A43" s="27" t="s">
        <v>251</v>
      </c>
      <c r="B43" s="28" t="s">
        <v>252</v>
      </c>
      <c r="C43" s="27"/>
      <c r="D43" s="28"/>
      <c r="E43" s="28"/>
      <c r="F43" s="29"/>
      <c r="G43" s="31">
        <f>MIN(G44:G46)</f>
        <v>46316</v>
      </c>
      <c r="H43" s="31">
        <f>MAX(H44:H46)</f>
        <v>46317</v>
      </c>
      <c r="I43" s="27">
        <f t="shared" si="1"/>
        <v>2</v>
      </c>
      <c r="J43" s="31"/>
      <c r="K43" s="31"/>
      <c r="L43" s="27"/>
      <c r="M43" s="28"/>
      <c r="N43" s="4"/>
      <c r="O43" s="4"/>
      <c r="P43" s="4"/>
      <c r="Q43" s="4"/>
      <c r="R43" s="4"/>
      <c r="S43" s="4"/>
      <c r="T43" s="4"/>
      <c r="U43" s="4"/>
      <c r="V43" s="4"/>
      <c r="W43" s="4"/>
      <c r="X43" s="4"/>
      <c r="Y43" s="4"/>
      <c r="Z43" s="4"/>
    </row>
    <row r="44" ht="14.25" customHeight="1">
      <c r="A44" s="33" t="s">
        <v>253</v>
      </c>
      <c r="B44" s="20" t="s">
        <v>254</v>
      </c>
      <c r="C44" s="33" t="s">
        <v>70</v>
      </c>
      <c r="D44" s="20" t="s">
        <v>255</v>
      </c>
      <c r="E44" s="20" t="s">
        <v>256</v>
      </c>
      <c r="F44" s="19" t="s">
        <v>257</v>
      </c>
      <c r="G44" s="34">
        <v>46316.0</v>
      </c>
      <c r="H44" s="34">
        <v>46316.0</v>
      </c>
      <c r="I44" s="33">
        <f t="shared" si="1"/>
        <v>1</v>
      </c>
      <c r="J44" s="34"/>
      <c r="K44" s="34"/>
      <c r="L44" s="33" t="s">
        <v>107</v>
      </c>
      <c r="M44" s="20"/>
      <c r="N44" s="4"/>
      <c r="O44" s="4"/>
      <c r="P44" s="4"/>
      <c r="Q44" s="4"/>
      <c r="R44" s="4"/>
      <c r="S44" s="4"/>
      <c r="T44" s="4"/>
      <c r="U44" s="4"/>
      <c r="V44" s="4"/>
      <c r="W44" s="4"/>
      <c r="X44" s="4"/>
      <c r="Y44" s="4"/>
      <c r="Z44" s="4"/>
    </row>
    <row r="45" ht="14.25" customHeight="1">
      <c r="A45" s="33" t="s">
        <v>258</v>
      </c>
      <c r="B45" s="20" t="s">
        <v>259</v>
      </c>
      <c r="C45" s="33" t="s">
        <v>47</v>
      </c>
      <c r="D45" s="20" t="s">
        <v>255</v>
      </c>
      <c r="E45" s="20" t="s">
        <v>260</v>
      </c>
      <c r="F45" s="19" t="s">
        <v>261</v>
      </c>
      <c r="G45" s="34">
        <v>46316.0</v>
      </c>
      <c r="H45" s="34">
        <v>46316.0</v>
      </c>
      <c r="I45" s="33">
        <f t="shared" si="1"/>
        <v>1</v>
      </c>
      <c r="J45" s="34"/>
      <c r="K45" s="34"/>
      <c r="L45" s="33" t="s">
        <v>107</v>
      </c>
      <c r="M45" s="20"/>
      <c r="N45" s="4"/>
      <c r="O45" s="4"/>
      <c r="P45" s="4"/>
      <c r="Q45" s="4"/>
      <c r="R45" s="4"/>
      <c r="S45" s="4"/>
      <c r="T45" s="4"/>
      <c r="U45" s="4"/>
      <c r="V45" s="4"/>
      <c r="W45" s="4"/>
      <c r="X45" s="4"/>
      <c r="Y45" s="4"/>
      <c r="Z45" s="4"/>
    </row>
    <row r="46" ht="14.25" customHeight="1">
      <c r="A46" s="33" t="s">
        <v>262</v>
      </c>
      <c r="B46" s="20" t="s">
        <v>263</v>
      </c>
      <c r="C46" s="33" t="s">
        <v>47</v>
      </c>
      <c r="D46" s="20" t="s">
        <v>264</v>
      </c>
      <c r="E46" s="20" t="s">
        <v>265</v>
      </c>
      <c r="F46" s="19" t="s">
        <v>266</v>
      </c>
      <c r="G46" s="34">
        <v>46317.0</v>
      </c>
      <c r="H46" s="34">
        <v>46317.0</v>
      </c>
      <c r="I46" s="33">
        <f t="shared" si="1"/>
        <v>1</v>
      </c>
      <c r="J46" s="34"/>
      <c r="K46" s="34"/>
      <c r="L46" s="33" t="s">
        <v>107</v>
      </c>
      <c r="M46" s="20" t="s">
        <v>267</v>
      </c>
      <c r="N46" s="4"/>
      <c r="O46" s="4"/>
      <c r="P46" s="4"/>
      <c r="Q46" s="4"/>
      <c r="R46" s="4"/>
      <c r="S46" s="4"/>
      <c r="T46" s="4"/>
      <c r="U46" s="4"/>
      <c r="V46" s="4"/>
      <c r="W46" s="4"/>
      <c r="X46" s="4"/>
      <c r="Y46" s="4"/>
      <c r="Z46" s="4"/>
    </row>
    <row r="47" ht="14.25" customHeight="1">
      <c r="A47" s="27" t="s">
        <v>268</v>
      </c>
      <c r="B47" s="28" t="s">
        <v>269</v>
      </c>
      <c r="C47" s="27"/>
      <c r="D47" s="28"/>
      <c r="E47" s="28"/>
      <c r="F47" s="29"/>
      <c r="G47" s="31">
        <f>MIN(G48:G52)</f>
        <v>46316</v>
      </c>
      <c r="H47" s="31">
        <f>MAX(H48:H52)</f>
        <v>46318</v>
      </c>
      <c r="I47" s="27">
        <f t="shared" si="1"/>
        <v>3</v>
      </c>
      <c r="J47" s="31"/>
      <c r="K47" s="31"/>
      <c r="L47" s="27"/>
      <c r="M47" s="28"/>
      <c r="N47" s="4"/>
      <c r="O47" s="4"/>
      <c r="P47" s="4"/>
      <c r="Q47" s="4"/>
      <c r="R47" s="4"/>
      <c r="S47" s="4"/>
      <c r="T47" s="4"/>
      <c r="U47" s="4"/>
      <c r="V47" s="4"/>
      <c r="W47" s="4"/>
      <c r="X47" s="4"/>
      <c r="Y47" s="4"/>
      <c r="Z47" s="4"/>
    </row>
    <row r="48" ht="14.25" customHeight="1">
      <c r="A48" s="33" t="s">
        <v>270</v>
      </c>
      <c r="B48" s="20" t="s">
        <v>271</v>
      </c>
      <c r="C48" s="33" t="s">
        <v>57</v>
      </c>
      <c r="D48" s="20" t="s">
        <v>272</v>
      </c>
      <c r="E48" s="20" t="s">
        <v>273</v>
      </c>
      <c r="F48" s="19" t="s">
        <v>257</v>
      </c>
      <c r="G48" s="34">
        <v>46316.0</v>
      </c>
      <c r="H48" s="34">
        <v>46316.0</v>
      </c>
      <c r="I48" s="33">
        <f t="shared" si="1"/>
        <v>1</v>
      </c>
      <c r="J48" s="34"/>
      <c r="K48" s="34"/>
      <c r="L48" s="33" t="s">
        <v>107</v>
      </c>
      <c r="M48" s="20" t="s">
        <v>274</v>
      </c>
      <c r="N48" s="4"/>
      <c r="O48" s="4"/>
      <c r="P48" s="4"/>
      <c r="Q48" s="4"/>
      <c r="R48" s="4"/>
      <c r="S48" s="4"/>
      <c r="T48" s="4"/>
      <c r="U48" s="4"/>
      <c r="V48" s="4"/>
      <c r="W48" s="4"/>
      <c r="X48" s="4"/>
      <c r="Y48" s="4"/>
      <c r="Z48" s="4"/>
    </row>
    <row r="49" ht="14.25" customHeight="1">
      <c r="A49" s="33" t="s">
        <v>275</v>
      </c>
      <c r="B49" s="20" t="s">
        <v>276</v>
      </c>
      <c r="C49" s="33" t="s">
        <v>70</v>
      </c>
      <c r="D49" s="20" t="s">
        <v>277</v>
      </c>
      <c r="E49" s="20" t="s">
        <v>278</v>
      </c>
      <c r="F49" s="19" t="s">
        <v>279</v>
      </c>
      <c r="G49" s="34">
        <v>46317.0</v>
      </c>
      <c r="H49" s="34">
        <v>46317.0</v>
      </c>
      <c r="I49" s="33">
        <f t="shared" si="1"/>
        <v>1</v>
      </c>
      <c r="J49" s="34"/>
      <c r="K49" s="34"/>
      <c r="L49" s="33" t="s">
        <v>107</v>
      </c>
      <c r="M49" s="20" t="s">
        <v>267</v>
      </c>
      <c r="N49" s="4"/>
      <c r="O49" s="4"/>
      <c r="P49" s="4"/>
      <c r="Q49" s="4"/>
      <c r="R49" s="4"/>
      <c r="S49" s="4"/>
      <c r="T49" s="4"/>
      <c r="U49" s="4"/>
      <c r="V49" s="4"/>
      <c r="W49" s="4"/>
      <c r="X49" s="4"/>
      <c r="Y49" s="4"/>
      <c r="Z49" s="4"/>
    </row>
    <row r="50" ht="14.25" customHeight="1">
      <c r="A50" s="33" t="s">
        <v>46</v>
      </c>
      <c r="B50" s="20" t="s">
        <v>280</v>
      </c>
      <c r="C50" s="33" t="s">
        <v>47</v>
      </c>
      <c r="D50" s="20" t="s">
        <v>281</v>
      </c>
      <c r="E50" s="20" t="s">
        <v>282</v>
      </c>
      <c r="F50" s="19" t="s">
        <v>283</v>
      </c>
      <c r="G50" s="34">
        <v>46318.0</v>
      </c>
      <c r="H50" s="34">
        <v>46318.0</v>
      </c>
      <c r="I50" s="33">
        <f t="shared" si="1"/>
        <v>1</v>
      </c>
      <c r="J50" s="34"/>
      <c r="K50" s="34"/>
      <c r="L50" s="33" t="s">
        <v>107</v>
      </c>
      <c r="M50" s="20"/>
      <c r="N50" s="4"/>
      <c r="O50" s="4"/>
      <c r="P50" s="4"/>
      <c r="Q50" s="4"/>
      <c r="R50" s="4"/>
      <c r="S50" s="4"/>
      <c r="T50" s="4"/>
      <c r="U50" s="4"/>
      <c r="V50" s="4"/>
      <c r="W50" s="4"/>
      <c r="X50" s="4"/>
      <c r="Y50" s="4"/>
      <c r="Z50" s="4"/>
    </row>
    <row r="51" ht="14.25" customHeight="1">
      <c r="A51" s="33" t="s">
        <v>284</v>
      </c>
      <c r="B51" s="20" t="s">
        <v>285</v>
      </c>
      <c r="C51" s="33" t="s">
        <v>57</v>
      </c>
      <c r="D51" s="20" t="s">
        <v>286</v>
      </c>
      <c r="E51" s="20" t="s">
        <v>287</v>
      </c>
      <c r="F51" s="19" t="s">
        <v>275</v>
      </c>
      <c r="G51" s="34">
        <v>46318.0</v>
      </c>
      <c r="H51" s="34">
        <v>46318.0</v>
      </c>
      <c r="I51" s="33">
        <f t="shared" si="1"/>
        <v>1</v>
      </c>
      <c r="J51" s="34"/>
      <c r="K51" s="34"/>
      <c r="L51" s="33" t="s">
        <v>107</v>
      </c>
      <c r="M51" s="20"/>
      <c r="N51" s="4"/>
      <c r="O51" s="4"/>
      <c r="P51" s="4"/>
      <c r="Q51" s="4"/>
      <c r="R51" s="4"/>
      <c r="S51" s="4"/>
      <c r="T51" s="4"/>
      <c r="U51" s="4"/>
      <c r="V51" s="4"/>
      <c r="W51" s="4"/>
      <c r="X51" s="4"/>
      <c r="Y51" s="4"/>
      <c r="Z51" s="4"/>
    </row>
    <row r="52" ht="14.25" customHeight="1">
      <c r="A52" s="33" t="s">
        <v>99</v>
      </c>
      <c r="B52" s="20" t="s">
        <v>288</v>
      </c>
      <c r="C52" s="33" t="s">
        <v>47</v>
      </c>
      <c r="D52" s="20" t="s">
        <v>289</v>
      </c>
      <c r="E52" s="20" t="s">
        <v>290</v>
      </c>
      <c r="F52" s="19" t="s">
        <v>291</v>
      </c>
      <c r="G52" s="34">
        <v>46318.0</v>
      </c>
      <c r="H52" s="34">
        <v>46318.0</v>
      </c>
      <c r="I52" s="33">
        <f t="shared" si="1"/>
        <v>1</v>
      </c>
      <c r="J52" s="34"/>
      <c r="K52" s="34"/>
      <c r="L52" s="33" t="s">
        <v>107</v>
      </c>
      <c r="M52" s="20" t="s">
        <v>292</v>
      </c>
      <c r="N52" s="4"/>
      <c r="O52" s="4"/>
      <c r="P52" s="4"/>
      <c r="Q52" s="4"/>
      <c r="R52" s="4"/>
      <c r="S52" s="4"/>
      <c r="T52" s="4"/>
      <c r="U52" s="4"/>
      <c r="V52" s="4"/>
      <c r="W52" s="4"/>
      <c r="X52" s="4"/>
      <c r="Y52" s="4"/>
      <c r="Z52" s="4"/>
    </row>
    <row r="53" ht="14.25" customHeight="1">
      <c r="A53" s="13" t="s">
        <v>293</v>
      </c>
      <c r="B53" s="14" t="s">
        <v>294</v>
      </c>
      <c r="C53" s="13"/>
      <c r="D53" s="14"/>
      <c r="E53" s="14"/>
      <c r="F53" s="15"/>
      <c r="G53" s="18">
        <f>MIN(G54:G58)</f>
        <v>46322</v>
      </c>
      <c r="H53" s="18">
        <f>MAX(H54:H58)</f>
        <v>46330</v>
      </c>
      <c r="I53" s="13">
        <f t="shared" si="1"/>
        <v>7</v>
      </c>
      <c r="J53" s="18"/>
      <c r="K53" s="18"/>
      <c r="L53" s="13"/>
      <c r="M53" s="14"/>
      <c r="N53" s="4"/>
      <c r="O53" s="4"/>
      <c r="P53" s="4"/>
      <c r="Q53" s="4"/>
      <c r="R53" s="4"/>
      <c r="S53" s="4"/>
      <c r="T53" s="4"/>
      <c r="U53" s="4"/>
      <c r="V53" s="4"/>
      <c r="W53" s="4"/>
      <c r="X53" s="4"/>
      <c r="Y53" s="4"/>
      <c r="Z53" s="4"/>
    </row>
    <row r="54" ht="14.25" customHeight="1">
      <c r="A54" s="27" t="s">
        <v>295</v>
      </c>
      <c r="B54" s="28" t="s">
        <v>296</v>
      </c>
      <c r="C54" s="27"/>
      <c r="D54" s="28"/>
      <c r="E54" s="28"/>
      <c r="F54" s="29"/>
      <c r="G54" s="31">
        <f>MIN(G55:G58)</f>
        <v>46322</v>
      </c>
      <c r="H54" s="31">
        <f>MAX(H55:H58)</f>
        <v>46330</v>
      </c>
      <c r="I54" s="27">
        <f t="shared" si="1"/>
        <v>7</v>
      </c>
      <c r="J54" s="31"/>
      <c r="K54" s="31"/>
      <c r="L54" s="27"/>
      <c r="M54" s="28"/>
      <c r="N54" s="4"/>
      <c r="O54" s="4"/>
      <c r="P54" s="4"/>
      <c r="Q54" s="4"/>
      <c r="R54" s="4"/>
      <c r="S54" s="4"/>
      <c r="T54" s="4"/>
      <c r="U54" s="4"/>
      <c r="V54" s="4"/>
      <c r="W54" s="4"/>
      <c r="X54" s="4"/>
      <c r="Y54" s="4"/>
      <c r="Z54" s="4"/>
    </row>
    <row r="55" ht="14.25" customHeight="1">
      <c r="A55" s="33" t="s">
        <v>69</v>
      </c>
      <c r="B55" s="20" t="s">
        <v>297</v>
      </c>
      <c r="C55" s="33" t="s">
        <v>70</v>
      </c>
      <c r="D55" s="20" t="s">
        <v>298</v>
      </c>
      <c r="E55" s="20" t="s">
        <v>299</v>
      </c>
      <c r="F55" s="19" t="s">
        <v>99</v>
      </c>
      <c r="G55" s="34">
        <v>46322.0</v>
      </c>
      <c r="H55" s="34">
        <v>46323.0</v>
      </c>
      <c r="I55" s="33">
        <f t="shared" si="1"/>
        <v>2</v>
      </c>
      <c r="J55" s="34"/>
      <c r="K55" s="34"/>
      <c r="L55" s="33" t="s">
        <v>107</v>
      </c>
      <c r="M55" s="20" t="s">
        <v>300</v>
      </c>
      <c r="N55" s="4"/>
      <c r="O55" s="4"/>
      <c r="P55" s="4"/>
      <c r="Q55" s="4"/>
      <c r="R55" s="4"/>
      <c r="S55" s="4"/>
      <c r="T55" s="4"/>
      <c r="U55" s="4"/>
      <c r="V55" s="4"/>
      <c r="W55" s="4"/>
      <c r="X55" s="4"/>
      <c r="Y55" s="4"/>
      <c r="Z55" s="4"/>
    </row>
    <row r="56" ht="14.25" customHeight="1">
      <c r="A56" s="33" t="s">
        <v>301</v>
      </c>
      <c r="B56" s="20" t="s">
        <v>302</v>
      </c>
      <c r="C56" s="33" t="s">
        <v>123</v>
      </c>
      <c r="D56" s="20" t="s">
        <v>303</v>
      </c>
      <c r="E56" s="20" t="s">
        <v>304</v>
      </c>
      <c r="F56" s="19" t="s">
        <v>69</v>
      </c>
      <c r="G56" s="34">
        <v>46324.0</v>
      </c>
      <c r="H56" s="34">
        <v>46325.0</v>
      </c>
      <c r="I56" s="33">
        <f t="shared" si="1"/>
        <v>2</v>
      </c>
      <c r="J56" s="34"/>
      <c r="K56" s="34"/>
      <c r="L56" s="33" t="s">
        <v>107</v>
      </c>
      <c r="M56" s="20" t="s">
        <v>305</v>
      </c>
      <c r="N56" s="4"/>
      <c r="O56" s="4"/>
      <c r="P56" s="4"/>
      <c r="Q56" s="4"/>
      <c r="R56" s="4"/>
      <c r="S56" s="4"/>
      <c r="T56" s="4"/>
      <c r="U56" s="4"/>
      <c r="V56" s="4"/>
      <c r="W56" s="4"/>
      <c r="X56" s="4"/>
      <c r="Y56" s="4"/>
      <c r="Z56" s="4"/>
    </row>
    <row r="57" ht="14.25" customHeight="1">
      <c r="A57" s="33" t="s">
        <v>306</v>
      </c>
      <c r="B57" s="20" t="s">
        <v>307</v>
      </c>
      <c r="C57" s="33" t="s">
        <v>123</v>
      </c>
      <c r="D57" s="20" t="s">
        <v>308</v>
      </c>
      <c r="E57" s="20" t="s">
        <v>309</v>
      </c>
      <c r="F57" s="19" t="s">
        <v>301</v>
      </c>
      <c r="G57" s="34">
        <v>46328.0</v>
      </c>
      <c r="H57" s="34">
        <v>46328.0</v>
      </c>
      <c r="I57" s="33">
        <f t="shared" si="1"/>
        <v>1</v>
      </c>
      <c r="J57" s="34"/>
      <c r="K57" s="34"/>
      <c r="L57" s="33" t="s">
        <v>107</v>
      </c>
      <c r="M57" s="20"/>
      <c r="N57" s="4"/>
      <c r="O57" s="4"/>
      <c r="P57" s="4"/>
      <c r="Q57" s="4"/>
      <c r="R57" s="4"/>
      <c r="S57" s="4"/>
      <c r="T57" s="4"/>
      <c r="U57" s="4"/>
      <c r="V57" s="4"/>
      <c r="W57" s="4"/>
      <c r="X57" s="4"/>
      <c r="Y57" s="4"/>
      <c r="Z57" s="4"/>
    </row>
    <row r="58" ht="14.25" customHeight="1">
      <c r="A58" s="33" t="s">
        <v>310</v>
      </c>
      <c r="B58" s="20" t="s">
        <v>311</v>
      </c>
      <c r="C58" s="33" t="s">
        <v>123</v>
      </c>
      <c r="D58" s="20" t="s">
        <v>312</v>
      </c>
      <c r="E58" s="20" t="s">
        <v>313</v>
      </c>
      <c r="F58" s="19" t="s">
        <v>306</v>
      </c>
      <c r="G58" s="34">
        <v>46329.0</v>
      </c>
      <c r="H58" s="34">
        <v>46330.0</v>
      </c>
      <c r="I58" s="33">
        <f t="shared" si="1"/>
        <v>2</v>
      </c>
      <c r="J58" s="34"/>
      <c r="K58" s="34"/>
      <c r="L58" s="33" t="s">
        <v>107</v>
      </c>
      <c r="M58" s="20"/>
      <c r="N58" s="4"/>
      <c r="O58" s="4"/>
      <c r="P58" s="4"/>
      <c r="Q58" s="4"/>
      <c r="R58" s="4"/>
      <c r="S58" s="4"/>
      <c r="T58" s="4"/>
      <c r="U58" s="4"/>
      <c r="V58" s="4"/>
      <c r="W58" s="4"/>
      <c r="X58" s="4"/>
      <c r="Y58" s="4"/>
      <c r="Z58" s="4"/>
    </row>
    <row r="59" ht="14.25" customHeight="1">
      <c r="A59" s="13" t="s">
        <v>314</v>
      </c>
      <c r="B59" s="14" t="s">
        <v>315</v>
      </c>
      <c r="C59" s="13"/>
      <c r="D59" s="14"/>
      <c r="E59" s="14"/>
      <c r="F59" s="15"/>
      <c r="G59" s="18"/>
      <c r="H59" s="18"/>
      <c r="I59" s="13"/>
      <c r="J59" s="18"/>
      <c r="K59" s="18"/>
      <c r="L59" s="13"/>
      <c r="M59" s="14"/>
      <c r="N59" s="4"/>
      <c r="O59" s="4"/>
      <c r="P59" s="4"/>
      <c r="Q59" s="4"/>
      <c r="R59" s="4"/>
      <c r="S59" s="4"/>
      <c r="T59" s="4"/>
      <c r="U59" s="4"/>
      <c r="V59" s="4"/>
      <c r="W59" s="4"/>
      <c r="X59" s="4"/>
      <c r="Y59" s="4"/>
      <c r="Z59" s="4"/>
    </row>
    <row r="60" ht="14.25" customHeight="1">
      <c r="A60" s="46" t="s">
        <v>316</v>
      </c>
      <c r="B60" s="47" t="s">
        <v>317</v>
      </c>
      <c r="C60" s="46" t="s">
        <v>318</v>
      </c>
      <c r="D60" s="47"/>
      <c r="E60" s="47"/>
      <c r="F60" s="48" t="s">
        <v>139</v>
      </c>
      <c r="G60" s="49">
        <v>46304.0</v>
      </c>
      <c r="H60" s="49">
        <v>46304.0</v>
      </c>
      <c r="I60" s="46">
        <v>0.0</v>
      </c>
      <c r="J60" s="49"/>
      <c r="K60" s="49"/>
      <c r="L60" s="46" t="s">
        <v>107</v>
      </c>
      <c r="M60" s="47"/>
      <c r="N60" s="4"/>
      <c r="O60" s="4"/>
      <c r="P60" s="4"/>
      <c r="Q60" s="4"/>
      <c r="R60" s="4"/>
      <c r="S60" s="4"/>
      <c r="T60" s="4"/>
      <c r="U60" s="4"/>
      <c r="V60" s="4"/>
      <c r="W60" s="4"/>
      <c r="X60" s="4"/>
      <c r="Y60" s="4"/>
      <c r="Z60" s="4"/>
    </row>
    <row r="61" ht="14.25" customHeight="1">
      <c r="A61" s="46" t="s">
        <v>319</v>
      </c>
      <c r="B61" s="47" t="s">
        <v>320</v>
      </c>
      <c r="C61" s="46" t="s">
        <v>318</v>
      </c>
      <c r="D61" s="47"/>
      <c r="E61" s="47"/>
      <c r="F61" s="48" t="s">
        <v>205</v>
      </c>
      <c r="G61" s="49">
        <v>46309.0</v>
      </c>
      <c r="H61" s="49">
        <v>46309.0</v>
      </c>
      <c r="I61" s="46">
        <v>0.0</v>
      </c>
      <c r="J61" s="49"/>
      <c r="K61" s="49"/>
      <c r="L61" s="46" t="s">
        <v>107</v>
      </c>
      <c r="M61" s="47"/>
      <c r="N61" s="4"/>
      <c r="O61" s="4"/>
      <c r="P61" s="4"/>
      <c r="Q61" s="4"/>
      <c r="R61" s="4"/>
      <c r="S61" s="4"/>
      <c r="T61" s="4"/>
      <c r="U61" s="4"/>
      <c r="V61" s="4"/>
      <c r="W61" s="4"/>
      <c r="X61" s="4"/>
      <c r="Y61" s="4"/>
      <c r="Z61" s="4"/>
    </row>
    <row r="62" ht="14.25" customHeight="1">
      <c r="A62" s="46" t="s">
        <v>321</v>
      </c>
      <c r="B62" s="47" t="s">
        <v>322</v>
      </c>
      <c r="C62" s="46" t="s">
        <v>318</v>
      </c>
      <c r="D62" s="47"/>
      <c r="E62" s="47"/>
      <c r="F62" s="48" t="s">
        <v>323</v>
      </c>
      <c r="G62" s="49">
        <v>46315.0</v>
      </c>
      <c r="H62" s="49">
        <v>46315.0</v>
      </c>
      <c r="I62" s="46">
        <v>0.0</v>
      </c>
      <c r="J62" s="49"/>
      <c r="K62" s="49"/>
      <c r="L62" s="46" t="s">
        <v>107</v>
      </c>
      <c r="M62" s="47"/>
      <c r="N62" s="4"/>
      <c r="O62" s="4"/>
      <c r="P62" s="4"/>
      <c r="Q62" s="4"/>
      <c r="R62" s="4"/>
      <c r="S62" s="4"/>
      <c r="T62" s="4"/>
      <c r="U62" s="4"/>
      <c r="V62" s="4"/>
      <c r="W62" s="4"/>
      <c r="X62" s="4"/>
      <c r="Y62" s="4"/>
      <c r="Z62" s="4"/>
    </row>
    <row r="63" ht="14.25" customHeight="1">
      <c r="A63" s="46" t="s">
        <v>324</v>
      </c>
      <c r="B63" s="47" t="s">
        <v>325</v>
      </c>
      <c r="C63" s="46" t="s">
        <v>318</v>
      </c>
      <c r="D63" s="47"/>
      <c r="E63" s="47"/>
      <c r="F63" s="48" t="s">
        <v>326</v>
      </c>
      <c r="G63" s="49">
        <v>46316.0</v>
      </c>
      <c r="H63" s="49">
        <v>46316.0</v>
      </c>
      <c r="I63" s="46">
        <v>0.0</v>
      </c>
      <c r="J63" s="49"/>
      <c r="K63" s="49"/>
      <c r="L63" s="46" t="s">
        <v>107</v>
      </c>
      <c r="M63" s="47"/>
      <c r="N63" s="4"/>
      <c r="O63" s="4"/>
      <c r="P63" s="4"/>
      <c r="Q63" s="4"/>
      <c r="R63" s="4"/>
      <c r="S63" s="4"/>
      <c r="T63" s="4"/>
      <c r="U63" s="4"/>
      <c r="V63" s="4"/>
      <c r="W63" s="4"/>
      <c r="X63" s="4"/>
      <c r="Y63" s="4"/>
      <c r="Z63" s="4"/>
    </row>
    <row r="64" ht="14.25" customHeight="1">
      <c r="A64" s="46" t="s">
        <v>327</v>
      </c>
      <c r="B64" s="47" t="s">
        <v>328</v>
      </c>
      <c r="C64" s="46" t="s">
        <v>318</v>
      </c>
      <c r="D64" s="47"/>
      <c r="E64" s="47"/>
      <c r="F64" s="48" t="s">
        <v>171</v>
      </c>
      <c r="G64" s="49">
        <v>46317.0</v>
      </c>
      <c r="H64" s="49">
        <v>46317.0</v>
      </c>
      <c r="I64" s="46">
        <v>0.0</v>
      </c>
      <c r="J64" s="49"/>
      <c r="K64" s="49"/>
      <c r="L64" s="46" t="s">
        <v>107</v>
      </c>
      <c r="M64" s="47"/>
      <c r="N64" s="4"/>
      <c r="O64" s="4"/>
      <c r="P64" s="4"/>
      <c r="Q64" s="4"/>
      <c r="R64" s="4"/>
      <c r="S64" s="4"/>
      <c r="T64" s="4"/>
      <c r="U64" s="4"/>
      <c r="V64" s="4"/>
      <c r="W64" s="4"/>
      <c r="X64" s="4"/>
      <c r="Y64" s="4"/>
      <c r="Z64" s="4"/>
    </row>
    <row r="65" ht="14.25" customHeight="1">
      <c r="A65" s="46" t="s">
        <v>329</v>
      </c>
      <c r="B65" s="47" t="s">
        <v>330</v>
      </c>
      <c r="C65" s="46" t="s">
        <v>318</v>
      </c>
      <c r="D65" s="47"/>
      <c r="E65" s="47"/>
      <c r="F65" s="48" t="s">
        <v>331</v>
      </c>
      <c r="G65" s="49">
        <v>46321.0</v>
      </c>
      <c r="H65" s="49">
        <v>46321.0</v>
      </c>
      <c r="I65" s="46">
        <v>0.0</v>
      </c>
      <c r="J65" s="49"/>
      <c r="K65" s="49"/>
      <c r="L65" s="46" t="s">
        <v>107</v>
      </c>
      <c r="M65" s="47" t="s">
        <v>332</v>
      </c>
      <c r="N65" s="4"/>
      <c r="O65" s="4"/>
      <c r="P65" s="4"/>
      <c r="Q65" s="4"/>
      <c r="R65" s="4"/>
      <c r="S65" s="4"/>
      <c r="T65" s="4"/>
      <c r="U65" s="4"/>
      <c r="V65" s="4"/>
      <c r="W65" s="4"/>
      <c r="X65" s="4"/>
      <c r="Y65" s="4"/>
      <c r="Z65" s="4"/>
    </row>
    <row r="66" ht="14.25" customHeight="1">
      <c r="A66" s="46" t="s">
        <v>333</v>
      </c>
      <c r="B66" s="47" t="s">
        <v>294</v>
      </c>
      <c r="C66" s="46" t="s">
        <v>318</v>
      </c>
      <c r="D66" s="47"/>
      <c r="E66" s="47"/>
      <c r="F66" s="48" t="s">
        <v>310</v>
      </c>
      <c r="G66" s="49">
        <v>46331.0</v>
      </c>
      <c r="H66" s="49">
        <v>46331.0</v>
      </c>
      <c r="I66" s="46">
        <v>0.0</v>
      </c>
      <c r="J66" s="49"/>
      <c r="K66" s="49"/>
      <c r="L66" s="46" t="s">
        <v>107</v>
      </c>
      <c r="M66" s="47"/>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3:B3"/>
  </mergeCells>
  <conditionalFormatting sqref="C5:C1000">
    <cfRule type="expression" dxfId="3" priority="1">
      <formula>$C5="Luz"</formula>
    </cfRule>
  </conditionalFormatting>
  <conditionalFormatting sqref="C5:C1000">
    <cfRule type="expression" dxfId="7" priority="2">
      <formula>$C5="Noa"</formula>
    </cfRule>
  </conditionalFormatting>
  <conditionalFormatting sqref="C5:C1000">
    <cfRule type="expression" dxfId="5" priority="3">
      <formula>$C5="Ferran"</formula>
    </cfRule>
  </conditionalFormatting>
  <conditionalFormatting sqref="C5:C1000">
    <cfRule type="expression" dxfId="8" priority="4">
      <formula>$C5="Leyre"</formula>
    </cfRule>
  </conditionalFormatting>
  <conditionalFormatting sqref="C5:C1000">
    <cfRule type="expression" dxfId="9" priority="5">
      <formula>$C5="All"</formula>
    </cfRule>
  </conditionalFormatting>
  <conditionalFormatting sqref="L5:L1000">
    <cfRule type="expression" dxfId="10" priority="6">
      <formula>$L5="Completed"</formula>
    </cfRule>
  </conditionalFormatting>
  <conditionalFormatting sqref="L5:L1000">
    <cfRule type="expression" dxfId="11" priority="7">
      <formula>$L5="In progress"</formula>
    </cfRule>
  </conditionalFormatting>
  <conditionalFormatting sqref="L5:L1000">
    <cfRule type="expression" dxfId="12" priority="8">
      <formula>$L5="Incident"</formula>
    </cfRule>
  </conditionalFormatting>
  <conditionalFormatting sqref="L5:L1000">
    <cfRule type="expression" dxfId="13" priority="9">
      <formula>$L5="Pending"</formula>
    </cfRule>
  </conditionalFormatting>
  <conditionalFormatting sqref="L5:L1000">
    <cfRule type="expression" dxfId="14" priority="10">
      <formula>$L5="Backlog"</formula>
    </cfRule>
  </conditionalFormatting>
  <conditionalFormatting sqref="L5:L1000">
    <cfRule type="expression" dxfId="15" priority="11">
      <formula>$L5="Canceled"</formula>
    </cfRule>
  </conditionalFormatting>
  <dataValidations>
    <dataValidation type="list" allowBlank="1" sqref="L5:L86">
      <formula1>"Completed,In progress,Incident,Pending,Backlog,Canceled"</formula1>
    </dataValidation>
  </dataValidations>
  <printOptions/>
  <pageMargins bottom="1.0" footer="0.0" header="0.0" left="0.4" right="0.4" top="1.0"/>
  <pageSetup fitToHeight="0" paperSize="8"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0.5"/>
    <col customWidth="1" min="2" max="2" width="29.75"/>
    <col customWidth="1" min="3" max="3" width="11.38"/>
    <col customWidth="1" min="4" max="6" width="4.38"/>
    <col customWidth="1" min="7" max="7" width="8.75"/>
    <col customWidth="1" min="8" max="8" width="38.5"/>
    <col customWidth="1" min="9" max="9" width="42.0"/>
    <col customWidth="1" min="10" max="11" width="7.88"/>
    <col customWidth="1" min="12" max="12" width="9.63"/>
    <col customWidth="1" min="13" max="26" width="7.63"/>
  </cols>
  <sheetData>
    <row r="1" ht="14.25" customHeight="1">
      <c r="A1" s="10" t="s">
        <v>9</v>
      </c>
      <c r="B1" s="11"/>
      <c r="C1" s="11"/>
      <c r="D1" s="11"/>
      <c r="E1" s="11"/>
      <c r="F1" s="11"/>
      <c r="G1" s="11"/>
      <c r="H1" s="11"/>
      <c r="I1" s="11"/>
      <c r="J1" s="11"/>
      <c r="K1" s="11"/>
      <c r="L1" s="11"/>
      <c r="M1" s="11"/>
      <c r="N1" s="11"/>
      <c r="O1" s="11"/>
      <c r="P1" s="11"/>
      <c r="Q1" s="11"/>
      <c r="R1" s="11"/>
      <c r="S1" s="11"/>
      <c r="T1" s="11"/>
      <c r="U1" s="11"/>
      <c r="V1" s="11"/>
      <c r="W1" s="11"/>
      <c r="X1" s="11"/>
      <c r="Y1" s="11"/>
      <c r="Z1" s="11"/>
    </row>
    <row r="2" ht="14.25" customHeight="1">
      <c r="A2" s="2" t="s">
        <v>1</v>
      </c>
      <c r="B2" s="11"/>
      <c r="C2" s="11"/>
      <c r="D2" s="11"/>
      <c r="E2" s="11"/>
      <c r="F2" s="11"/>
      <c r="G2" s="11"/>
      <c r="H2" s="11"/>
      <c r="I2" s="11"/>
      <c r="J2" s="11"/>
      <c r="K2" s="11"/>
      <c r="L2" s="11"/>
      <c r="M2" s="11"/>
      <c r="N2" s="11"/>
      <c r="O2" s="11"/>
      <c r="P2" s="11"/>
      <c r="Q2" s="11"/>
      <c r="R2" s="11"/>
      <c r="S2" s="11"/>
      <c r="T2" s="11"/>
      <c r="U2" s="11"/>
      <c r="V2" s="11"/>
      <c r="W2" s="11"/>
      <c r="X2" s="11"/>
      <c r="Y2" s="11"/>
      <c r="Z2" s="11"/>
    </row>
    <row r="3" ht="14.25" customHeight="1">
      <c r="A3" s="11"/>
      <c r="B3" s="11"/>
      <c r="C3" s="11"/>
      <c r="D3" s="11"/>
      <c r="E3" s="11"/>
      <c r="F3" s="11"/>
      <c r="G3" s="11"/>
      <c r="H3" s="11"/>
      <c r="I3" s="11"/>
      <c r="J3" s="11"/>
      <c r="K3" s="11"/>
      <c r="L3" s="11"/>
      <c r="M3" s="11"/>
      <c r="N3" s="11"/>
      <c r="O3" s="11"/>
      <c r="P3" s="11"/>
      <c r="Q3" s="11"/>
      <c r="R3" s="11"/>
      <c r="S3" s="11"/>
      <c r="T3" s="11"/>
      <c r="U3" s="11"/>
      <c r="V3" s="11"/>
      <c r="W3" s="11"/>
      <c r="X3" s="11"/>
      <c r="Y3" s="11"/>
      <c r="Z3" s="11"/>
    </row>
    <row r="4" ht="30.0" customHeight="1">
      <c r="A4" s="12" t="s">
        <v>12</v>
      </c>
      <c r="B4" s="12" t="s">
        <v>27</v>
      </c>
      <c r="C4" s="12" t="s">
        <v>29</v>
      </c>
      <c r="D4" s="12" t="s">
        <v>30</v>
      </c>
      <c r="E4" s="12" t="s">
        <v>31</v>
      </c>
      <c r="F4" s="12" t="s">
        <v>32</v>
      </c>
      <c r="G4" s="12" t="s">
        <v>33</v>
      </c>
      <c r="H4" s="12" t="s">
        <v>34</v>
      </c>
      <c r="I4" s="12" t="s">
        <v>35</v>
      </c>
      <c r="J4" s="12" t="s">
        <v>36</v>
      </c>
      <c r="K4" s="12" t="s">
        <v>14</v>
      </c>
      <c r="L4" s="12" t="s">
        <v>23</v>
      </c>
      <c r="M4" s="11"/>
      <c r="N4" s="11"/>
      <c r="O4" s="11"/>
      <c r="P4" s="11"/>
      <c r="Q4" s="11"/>
      <c r="R4" s="11"/>
      <c r="S4" s="11"/>
      <c r="T4" s="11"/>
      <c r="U4" s="11"/>
      <c r="V4" s="11"/>
      <c r="W4" s="11"/>
      <c r="X4" s="11"/>
      <c r="Y4" s="11"/>
      <c r="Z4" s="11"/>
    </row>
    <row r="5" ht="14.25" customHeight="1">
      <c r="A5" s="19" t="s">
        <v>37</v>
      </c>
      <c r="B5" s="20" t="s">
        <v>38</v>
      </c>
      <c r="C5" s="19" t="s">
        <v>39</v>
      </c>
      <c r="D5" s="22">
        <v>2.0</v>
      </c>
      <c r="E5" s="22">
        <v>3.0</v>
      </c>
      <c r="F5" s="19">
        <f t="shared" ref="F5:F15" si="1">D5*E5</f>
        <v>6</v>
      </c>
      <c r="G5" s="19" t="str">
        <f t="shared" ref="G5:G15" si="2">IF(F5&gt;=6,"High",IF(F5&gt;=3,"Medium","Low"))</f>
        <v>High</v>
      </c>
      <c r="H5" s="20" t="s">
        <v>44</v>
      </c>
      <c r="I5" s="20" t="s">
        <v>45</v>
      </c>
      <c r="J5" s="24" t="s">
        <v>46</v>
      </c>
      <c r="K5" s="19" t="s">
        <v>47</v>
      </c>
      <c r="L5" s="19" t="s">
        <v>48</v>
      </c>
      <c r="M5" s="11"/>
      <c r="N5" s="11"/>
      <c r="O5" s="11"/>
      <c r="P5" s="11"/>
      <c r="Q5" s="11"/>
      <c r="R5" s="11"/>
      <c r="S5" s="11"/>
      <c r="T5" s="11"/>
      <c r="U5" s="11"/>
      <c r="V5" s="11"/>
      <c r="W5" s="11"/>
      <c r="X5" s="11"/>
      <c r="Y5" s="11"/>
      <c r="Z5" s="11"/>
    </row>
    <row r="6" ht="14.25" customHeight="1">
      <c r="A6" s="19" t="s">
        <v>49</v>
      </c>
      <c r="B6" s="20" t="s">
        <v>50</v>
      </c>
      <c r="C6" s="19" t="s">
        <v>52</v>
      </c>
      <c r="D6" s="22">
        <v>2.0</v>
      </c>
      <c r="E6" s="22">
        <v>3.0</v>
      </c>
      <c r="F6" s="19">
        <f t="shared" si="1"/>
        <v>6</v>
      </c>
      <c r="G6" s="19" t="str">
        <f t="shared" si="2"/>
        <v>High</v>
      </c>
      <c r="H6" s="20" t="s">
        <v>54</v>
      </c>
      <c r="I6" s="20" t="s">
        <v>55</v>
      </c>
      <c r="J6" s="24" t="s">
        <v>56</v>
      </c>
      <c r="K6" s="19" t="s">
        <v>57</v>
      </c>
      <c r="L6" s="19" t="s">
        <v>48</v>
      </c>
      <c r="M6" s="11"/>
      <c r="N6" s="11"/>
      <c r="O6" s="11"/>
      <c r="P6" s="11"/>
      <c r="Q6" s="11"/>
      <c r="R6" s="11"/>
      <c r="S6" s="11"/>
      <c r="T6" s="11"/>
      <c r="U6" s="11"/>
      <c r="V6" s="11"/>
      <c r="W6" s="11"/>
      <c r="X6" s="11"/>
      <c r="Y6" s="11"/>
      <c r="Z6" s="11"/>
    </row>
    <row r="7" ht="14.25" customHeight="1">
      <c r="A7" s="19" t="s">
        <v>59</v>
      </c>
      <c r="B7" s="20" t="s">
        <v>60</v>
      </c>
      <c r="C7" s="19" t="s">
        <v>52</v>
      </c>
      <c r="D7" s="22">
        <v>2.0</v>
      </c>
      <c r="E7" s="22">
        <v>3.0</v>
      </c>
      <c r="F7" s="19">
        <f t="shared" si="1"/>
        <v>6</v>
      </c>
      <c r="G7" s="19" t="str">
        <f t="shared" si="2"/>
        <v>High</v>
      </c>
      <c r="H7" s="20" t="s">
        <v>62</v>
      </c>
      <c r="I7" s="20" t="s">
        <v>63</v>
      </c>
      <c r="J7" s="24" t="s">
        <v>56</v>
      </c>
      <c r="K7" s="19" t="s">
        <v>57</v>
      </c>
      <c r="L7" s="19" t="s">
        <v>48</v>
      </c>
      <c r="M7" s="11"/>
      <c r="N7" s="11"/>
      <c r="O7" s="11"/>
      <c r="P7" s="11"/>
      <c r="Q7" s="11"/>
      <c r="R7" s="11"/>
      <c r="S7" s="11"/>
      <c r="T7" s="11"/>
      <c r="U7" s="11"/>
      <c r="V7" s="11"/>
      <c r="W7" s="11"/>
      <c r="X7" s="11"/>
      <c r="Y7" s="11"/>
      <c r="Z7" s="11"/>
    </row>
    <row r="8" ht="14.25" customHeight="1">
      <c r="A8" s="19" t="s">
        <v>64</v>
      </c>
      <c r="B8" s="20" t="s">
        <v>65</v>
      </c>
      <c r="C8" s="19" t="s">
        <v>52</v>
      </c>
      <c r="D8" s="22">
        <v>2.0</v>
      </c>
      <c r="E8" s="22">
        <v>3.0</v>
      </c>
      <c r="F8" s="19">
        <f t="shared" si="1"/>
        <v>6</v>
      </c>
      <c r="G8" s="19" t="str">
        <f t="shared" si="2"/>
        <v>High</v>
      </c>
      <c r="H8" s="20" t="s">
        <v>67</v>
      </c>
      <c r="I8" s="20" t="s">
        <v>68</v>
      </c>
      <c r="J8" s="24" t="s">
        <v>69</v>
      </c>
      <c r="K8" s="19" t="s">
        <v>70</v>
      </c>
      <c r="L8" s="19" t="s">
        <v>48</v>
      </c>
      <c r="M8" s="11"/>
      <c r="N8" s="11"/>
      <c r="O8" s="11"/>
      <c r="P8" s="11"/>
      <c r="Q8" s="11"/>
      <c r="R8" s="11"/>
      <c r="S8" s="11"/>
      <c r="T8" s="11"/>
      <c r="U8" s="11"/>
      <c r="V8" s="11"/>
      <c r="W8" s="11"/>
      <c r="X8" s="11"/>
      <c r="Y8" s="11"/>
      <c r="Z8" s="11"/>
    </row>
    <row r="9" ht="14.25" customHeight="1">
      <c r="A9" s="19" t="s">
        <v>71</v>
      </c>
      <c r="B9" s="20" t="s">
        <v>72</v>
      </c>
      <c r="C9" s="19" t="s">
        <v>39</v>
      </c>
      <c r="D9" s="22">
        <v>3.0</v>
      </c>
      <c r="E9" s="22">
        <v>2.0</v>
      </c>
      <c r="F9" s="19">
        <f t="shared" si="1"/>
        <v>6</v>
      </c>
      <c r="G9" s="19" t="str">
        <f t="shared" si="2"/>
        <v>High</v>
      </c>
      <c r="H9" s="20" t="s">
        <v>74</v>
      </c>
      <c r="I9" s="20" t="s">
        <v>75</v>
      </c>
      <c r="J9" s="24" t="s">
        <v>76</v>
      </c>
      <c r="K9" s="19" t="s">
        <v>77</v>
      </c>
      <c r="L9" s="19" t="s">
        <v>48</v>
      </c>
      <c r="M9" s="11"/>
      <c r="N9" s="11"/>
      <c r="O9" s="11"/>
      <c r="P9" s="11"/>
      <c r="Q9" s="11"/>
      <c r="R9" s="11"/>
      <c r="S9" s="11"/>
      <c r="T9" s="11"/>
      <c r="U9" s="11"/>
      <c r="V9" s="11"/>
      <c r="W9" s="11"/>
      <c r="X9" s="11"/>
      <c r="Y9" s="11"/>
      <c r="Z9" s="11"/>
    </row>
    <row r="10" ht="14.25" customHeight="1">
      <c r="A10" s="19" t="s">
        <v>79</v>
      </c>
      <c r="B10" s="20" t="s">
        <v>80</v>
      </c>
      <c r="C10" s="19" t="s">
        <v>39</v>
      </c>
      <c r="D10" s="22">
        <v>3.0</v>
      </c>
      <c r="E10" s="22">
        <v>2.0</v>
      </c>
      <c r="F10" s="19">
        <f t="shared" si="1"/>
        <v>6</v>
      </c>
      <c r="G10" s="19" t="str">
        <f t="shared" si="2"/>
        <v>High</v>
      </c>
      <c r="H10" s="20" t="s">
        <v>85</v>
      </c>
      <c r="I10" s="20" t="s">
        <v>89</v>
      </c>
      <c r="J10" s="24" t="s">
        <v>76</v>
      </c>
      <c r="K10" s="19" t="s">
        <v>77</v>
      </c>
      <c r="L10" s="19" t="s">
        <v>48</v>
      </c>
      <c r="M10" s="11"/>
      <c r="N10" s="11"/>
      <c r="O10" s="11"/>
      <c r="P10" s="11"/>
      <c r="Q10" s="11"/>
      <c r="R10" s="11"/>
      <c r="S10" s="11"/>
      <c r="T10" s="11"/>
      <c r="U10" s="11"/>
      <c r="V10" s="11"/>
      <c r="W10" s="11"/>
      <c r="X10" s="11"/>
      <c r="Y10" s="11"/>
      <c r="Z10" s="11"/>
    </row>
    <row r="11" ht="14.25" customHeight="1">
      <c r="A11" s="19" t="s">
        <v>90</v>
      </c>
      <c r="B11" s="20" t="s">
        <v>91</v>
      </c>
      <c r="C11" s="19" t="s">
        <v>92</v>
      </c>
      <c r="D11" s="22">
        <v>2.0</v>
      </c>
      <c r="E11" s="22">
        <v>2.0</v>
      </c>
      <c r="F11" s="19">
        <f t="shared" si="1"/>
        <v>4</v>
      </c>
      <c r="G11" s="19" t="str">
        <f t="shared" si="2"/>
        <v>Medium</v>
      </c>
      <c r="H11" s="20" t="s">
        <v>97</v>
      </c>
      <c r="I11" s="20" t="s">
        <v>98</v>
      </c>
      <c r="J11" s="24" t="s">
        <v>99</v>
      </c>
      <c r="K11" s="19" t="s">
        <v>47</v>
      </c>
      <c r="L11" s="19" t="s">
        <v>48</v>
      </c>
      <c r="M11" s="11"/>
      <c r="N11" s="11"/>
      <c r="O11" s="11"/>
      <c r="P11" s="11"/>
      <c r="Q11" s="11"/>
      <c r="R11" s="11"/>
      <c r="S11" s="11"/>
      <c r="T11" s="11"/>
      <c r="U11" s="11"/>
      <c r="V11" s="11"/>
      <c r="W11" s="11"/>
      <c r="X11" s="11"/>
      <c r="Y11" s="11"/>
      <c r="Z11" s="11"/>
    </row>
    <row r="12" ht="14.25" customHeight="1">
      <c r="A12" s="19" t="s">
        <v>104</v>
      </c>
      <c r="B12" s="20" t="s">
        <v>105</v>
      </c>
      <c r="C12" s="19" t="s">
        <v>92</v>
      </c>
      <c r="D12" s="22">
        <v>2.0</v>
      </c>
      <c r="E12" s="22">
        <v>2.0</v>
      </c>
      <c r="F12" s="19">
        <f t="shared" si="1"/>
        <v>4</v>
      </c>
      <c r="G12" s="19" t="str">
        <f t="shared" si="2"/>
        <v>Medium</v>
      </c>
      <c r="H12" s="20" t="s">
        <v>109</v>
      </c>
      <c r="I12" s="20" t="s">
        <v>110</v>
      </c>
      <c r="J12" s="24" t="s">
        <v>100</v>
      </c>
      <c r="K12" s="19" t="s">
        <v>77</v>
      </c>
      <c r="L12" s="19" t="s">
        <v>48</v>
      </c>
      <c r="M12" s="11"/>
      <c r="N12" s="11"/>
      <c r="O12" s="11"/>
      <c r="P12" s="11"/>
      <c r="Q12" s="11"/>
      <c r="R12" s="11"/>
      <c r="S12" s="11"/>
      <c r="T12" s="11"/>
      <c r="U12" s="11"/>
      <c r="V12" s="11"/>
      <c r="W12" s="11"/>
      <c r="X12" s="11"/>
      <c r="Y12" s="11"/>
      <c r="Z12" s="11"/>
    </row>
    <row r="13" ht="14.25" customHeight="1">
      <c r="A13" s="19" t="s">
        <v>113</v>
      </c>
      <c r="B13" s="20" t="s">
        <v>114</v>
      </c>
      <c r="C13" s="19" t="s">
        <v>52</v>
      </c>
      <c r="D13" s="22">
        <v>2.0</v>
      </c>
      <c r="E13" s="22">
        <v>2.0</v>
      </c>
      <c r="F13" s="19">
        <f t="shared" si="1"/>
        <v>4</v>
      </c>
      <c r="G13" s="19" t="str">
        <f t="shared" si="2"/>
        <v>Medium</v>
      </c>
      <c r="H13" s="20" t="s">
        <v>115</v>
      </c>
      <c r="I13" s="20" t="s">
        <v>116</v>
      </c>
      <c r="J13" s="24" t="s">
        <v>56</v>
      </c>
      <c r="K13" s="19" t="s">
        <v>57</v>
      </c>
      <c r="L13" s="19" t="s">
        <v>48</v>
      </c>
      <c r="M13" s="11"/>
      <c r="N13" s="11"/>
      <c r="O13" s="11"/>
      <c r="P13" s="11"/>
      <c r="Q13" s="11"/>
      <c r="R13" s="11"/>
      <c r="S13" s="11"/>
      <c r="T13" s="11"/>
      <c r="U13" s="11"/>
      <c r="V13" s="11"/>
      <c r="W13" s="11"/>
      <c r="X13" s="11"/>
      <c r="Y13" s="11"/>
      <c r="Z13" s="11"/>
    </row>
    <row r="14" ht="14.25" customHeight="1">
      <c r="A14" s="19" t="s">
        <v>117</v>
      </c>
      <c r="B14" s="20" t="s">
        <v>118</v>
      </c>
      <c r="C14" s="19" t="s">
        <v>39</v>
      </c>
      <c r="D14" s="22">
        <v>1.0</v>
      </c>
      <c r="E14" s="22">
        <v>2.0</v>
      </c>
      <c r="F14" s="19">
        <f t="shared" si="1"/>
        <v>2</v>
      </c>
      <c r="G14" s="19" t="str">
        <f t="shared" si="2"/>
        <v>Low</v>
      </c>
      <c r="H14" s="20" t="s">
        <v>120</v>
      </c>
      <c r="I14" s="20" t="s">
        <v>122</v>
      </c>
      <c r="J14" s="24" t="s">
        <v>124</v>
      </c>
      <c r="K14" s="19" t="s">
        <v>70</v>
      </c>
      <c r="L14" s="19" t="s">
        <v>48</v>
      </c>
      <c r="M14" s="11"/>
      <c r="N14" s="11"/>
      <c r="O14" s="11"/>
      <c r="P14" s="11"/>
      <c r="Q14" s="11"/>
      <c r="R14" s="11"/>
      <c r="S14" s="11"/>
      <c r="T14" s="11"/>
      <c r="U14" s="11"/>
      <c r="V14" s="11"/>
      <c r="W14" s="11"/>
      <c r="X14" s="11"/>
      <c r="Y14" s="11"/>
      <c r="Z14" s="11"/>
    </row>
    <row r="15" ht="14.25" customHeight="1">
      <c r="A15" s="19" t="s">
        <v>127</v>
      </c>
      <c r="B15" s="20" t="s">
        <v>128</v>
      </c>
      <c r="C15" s="19" t="s">
        <v>92</v>
      </c>
      <c r="D15" s="22">
        <v>1.0</v>
      </c>
      <c r="E15" s="22">
        <v>2.0</v>
      </c>
      <c r="F15" s="19">
        <f t="shared" si="1"/>
        <v>2</v>
      </c>
      <c r="G15" s="19" t="str">
        <f t="shared" si="2"/>
        <v>Low</v>
      </c>
      <c r="H15" s="20" t="s">
        <v>133</v>
      </c>
      <c r="I15" s="20" t="s">
        <v>134</v>
      </c>
      <c r="J15" s="24" t="s">
        <v>135</v>
      </c>
      <c r="K15" s="19" t="s">
        <v>70</v>
      </c>
      <c r="L15" s="19" t="s">
        <v>48</v>
      </c>
      <c r="M15" s="11"/>
      <c r="N15" s="11"/>
      <c r="O15" s="11"/>
      <c r="P15" s="11"/>
      <c r="Q15" s="11"/>
      <c r="R15" s="11"/>
      <c r="S15" s="11"/>
      <c r="T15" s="11"/>
      <c r="U15" s="11"/>
      <c r="V15" s="11"/>
      <c r="W15" s="11"/>
      <c r="X15" s="11"/>
      <c r="Y15" s="11"/>
      <c r="Z15" s="11"/>
    </row>
    <row r="16" ht="14.25" customHeight="1">
      <c r="A16" s="11"/>
      <c r="B16" s="11"/>
      <c r="C16" s="11"/>
      <c r="D16" s="38"/>
      <c r="E16" s="38"/>
      <c r="F16" s="11"/>
      <c r="G16" s="11"/>
      <c r="H16" s="11"/>
      <c r="I16" s="11"/>
      <c r="J16" s="11"/>
      <c r="K16" s="11"/>
      <c r="L16" s="11"/>
      <c r="M16" s="11"/>
      <c r="N16" s="11"/>
      <c r="O16" s="11"/>
      <c r="P16" s="11"/>
      <c r="Q16" s="11"/>
      <c r="R16" s="11"/>
      <c r="S16" s="11"/>
      <c r="T16" s="11"/>
      <c r="U16" s="11"/>
      <c r="V16" s="11"/>
      <c r="W16" s="11"/>
      <c r="X16" s="11"/>
      <c r="Y16" s="11"/>
      <c r="Z16" s="11"/>
    </row>
    <row r="17" ht="14.2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ht="14.2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ht="14.25" customHeight="1">
      <c r="A19" s="11"/>
      <c r="B19" s="11"/>
      <c r="C19" s="11"/>
      <c r="D19" s="11"/>
      <c r="E19" s="11"/>
      <c r="F19" s="11"/>
      <c r="G19" s="11"/>
      <c r="H19" s="39"/>
      <c r="I19" s="11"/>
      <c r="J19" s="11"/>
      <c r="K19" s="11"/>
      <c r="L19" s="11"/>
      <c r="M19" s="11"/>
      <c r="N19" s="11"/>
      <c r="O19" s="11"/>
      <c r="P19" s="11"/>
      <c r="Q19" s="11"/>
      <c r="R19" s="11"/>
      <c r="S19" s="11"/>
      <c r="T19" s="11"/>
      <c r="U19" s="11"/>
      <c r="V19" s="11"/>
      <c r="W19" s="11"/>
      <c r="X19" s="11"/>
      <c r="Y19" s="11"/>
      <c r="Z19" s="11"/>
    </row>
    <row r="20" ht="14.2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ht="14.2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4.2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4.2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4.2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4.2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4.2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4.2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4.2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4.2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4.2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4.2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4.2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4.2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4.2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4.2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4.2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4.2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4.2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4.2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4.2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4.2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4.2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4.2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4.2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4.2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4.2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4.2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4.2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4.2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4.2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4.2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4.2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4.2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4.2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4.2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4.2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4.2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4.2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4.2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4.2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4.2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4.2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4.2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4.2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4.2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4.2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4.2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4.2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4.2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4.2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4.2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4.2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4.2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4.2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4.2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4.2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4.2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4.2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4.2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4.2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4.2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4.2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4.2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4.2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4.2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4.2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4.2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4.2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4.2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4.2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4.2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4.2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4.2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4.2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4.2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4.2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4.2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4.2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4.2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4.2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4.2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4.2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4.2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4.2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4.2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4.2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4.2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4.2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4.2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4.2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4.2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4.2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4.2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4.2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4.2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4.2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4.2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4.2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4.2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4.2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4.2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4.2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4.2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4.2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4.2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4.2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4.2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4.2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4.2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4.2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4.2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4.2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4.2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4.2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4.2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4.2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4.2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4.2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4.2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4.2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4.2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4.2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4.2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4.2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4.2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4.2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4.2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4.2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4.2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4.2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4.2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4.2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4.2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4.2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4.2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4.2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4.2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4.2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4.2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4.2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4.2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4.2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4.2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4.2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4.2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4.2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4.2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4.2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4.2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4.2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4.2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4.2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4.2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4.2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4.2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4.2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4.2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4.2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4.2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4.2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4.2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4.2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4.2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4.2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4.2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4.2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4.2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4.2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4.2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4.2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4.2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4.2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4.2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4.2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4.2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4.2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4.2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4.2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4.2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4.2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4.2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4.2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4.2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4.2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4.2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4.2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4.2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4.2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4.2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4.2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4.2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4.2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4.2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4.2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4.2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4.2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4.2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4.2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4.2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4.2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4.2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4.2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4.2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4.2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4.2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4.2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4.2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4.2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4.2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4.2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4.2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4.2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4.2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4.2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4.2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4.2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4.2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4.2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4.2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4.2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4.2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4.2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4.2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4.2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4.2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4.2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4.2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4.2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4.2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4.2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4.2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4.2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4.2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4.2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4.2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4.2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4.2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4.2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4.2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4.2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4.2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4.2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4.2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4.2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4.2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4.2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4.2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4.2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4.2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4.2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4.2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4.2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4.2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4.2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4.2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4.2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4.2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4.2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4.2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4.2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4.2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4.2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4.2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4.2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4.2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4.2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4.2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4.2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4.2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4.2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4.2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4.2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4.2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4.2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4.2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4.2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4.2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4.2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4.2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4.2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4.2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4.2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4.2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4.2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4.2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4.2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4.2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4.2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4.2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4.2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4.2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4.2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4.2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4.2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4.2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4.2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4.2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4.2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4.2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4.2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4.2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4.2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4.2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4.2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4.2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4.2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4.2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4.2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4.2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4.2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4.2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4.2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4.2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4.2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4.2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4.2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4.2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4.2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4.2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4.2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4.2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4.2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4.2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4.2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4.2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4.2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4.2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4.2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4.2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4.2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4.2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4.2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4.2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4.2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4.2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4.2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4.2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4.2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4.2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4.2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4.2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4.2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4.2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4.2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4.2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4.2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4.2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4.2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4.2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4.2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4.2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4.2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4.2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4.2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4.2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4.2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4.2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4.2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4.2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4.2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4.2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4.2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4.2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4.2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4.2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4.2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4.2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4.2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4.2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4.2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4.2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4.2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4.2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4.2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4.2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4.2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4.2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4.2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4.2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4.2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4.2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4.2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4.2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4.2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4.2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4.2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4.2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4.2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4.2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4.2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4.2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4.2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4.2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4.2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4.2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4.2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4.2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4.2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4.2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4.2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4.2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4.2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4.2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4.2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4.2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4.2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4.2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4.2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4.2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4.2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4.2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4.2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4.2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4.2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4.2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4.2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4.2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4.2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4.2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4.2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4.2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4.2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4.2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4.2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4.2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4.2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4.2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4.2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4.2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4.2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4.2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4.2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4.2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4.2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4.2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4.2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4.2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4.2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4.2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4.2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4.2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4.2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4.2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4.2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4.2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4.2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4.2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4.2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4.2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4.2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4.2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4.2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4.2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4.2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4.2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4.2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4.2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4.2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4.2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4.2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4.2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4.2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4.2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4.2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4.2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4.2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4.2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4.2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4.2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4.2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4.2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4.2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4.2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4.2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4.2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4.2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4.2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4.2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4.2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4.2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4.2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4.2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4.2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4.2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4.2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4.2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4.2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4.2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4.2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4.2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4.2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4.2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4.2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4.2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4.2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4.2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4.2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4.2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4.2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4.2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4.2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4.2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4.2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4.2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4.2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4.2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4.2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4.2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4.2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4.2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4.2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4.2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4.2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4.2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4.2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4.2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4.2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4.2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4.2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4.2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4.2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4.2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4.2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4.2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4.2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4.2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4.2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4.2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4.2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4.2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4.2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4.2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4.2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4.2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4.2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4.2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4.2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4.2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4.2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4.2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4.2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4.2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4.2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4.2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4.2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4.2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4.2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4.2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4.2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4.2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4.2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4.2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4.2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4.2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4.2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4.2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4.2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4.2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4.2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4.2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4.2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4.2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4.2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4.2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4.2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4.2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4.2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4.2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4.2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4.2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4.2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4.2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4.2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4.2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4.2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4.2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4.2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4.2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4.2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4.2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4.2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4.2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4.2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4.2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4.2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4.2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4.2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4.2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4.2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4.2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4.2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4.2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4.2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4.2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4.2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4.2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4.2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4.2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4.2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4.2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4.2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4.2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4.2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4.2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4.2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4.2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4.2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4.2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4.2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4.2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4.2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4.2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4.2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4.2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4.2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4.2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4.2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4.2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4.2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4.2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4.2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4.2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4.2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4.2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4.2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4.2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4.2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4.2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4.2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4.2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4.2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4.2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4.2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4.2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4.2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4.2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4.2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4.2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4.2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4.2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4.2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4.2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4.2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4.2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4.2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4.2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4.2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4.2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4.2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4.2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4.2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4.2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4.2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4.2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4.2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4.2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4.2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4.2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4.2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4.2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4.2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4.2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4.2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4.2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4.2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4.2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4.2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4.2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4.2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4.2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4.2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4.2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4.2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4.2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4.2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4.2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4.2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4.2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4.2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4.2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4.2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4.2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4.2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4.2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4.2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4.2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4.2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4.2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4.2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4.2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4.2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4.2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4.2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4.2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4.2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4.2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4.2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4.2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4.2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4.2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4.2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4.2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4.2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4.2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4.2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4.2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4.2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4.2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4.2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4.2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4.2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4.2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4.2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4.2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4.2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4.2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4.2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4.2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4.2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4.2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4.2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4.2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4.2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4.2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4.2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4.2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4.2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4.2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4.2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4.2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4.2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4.2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4.2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4.2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4.2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4.2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4.2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4.2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4.2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4.2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4.2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4.2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4.2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4.2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4.2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4.2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4.2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4.2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4.2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4.2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4.2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4.2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4.2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4.2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4.2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4.2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4.2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4.2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4.2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4.2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4.2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4.2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4.2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4.2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4.2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4.2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4.2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4.2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4.2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4.2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4.2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4.2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4.2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4.2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4.2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4.2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4.2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4.2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4.2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4.2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4.2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4.2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4.2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4.2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4.2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4.2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4.2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4.2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4.2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4.2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4.2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4.2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4.2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4.2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4.2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4.2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4.2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4.2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4.2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4.2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4.2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4.2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4.2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4.2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4.2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4.2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4.2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4.2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4.2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4.2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4.2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4.2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4.2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4.2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4.2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4.2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4.2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4.2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4.2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4.2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4.2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4.2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4.2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4.2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4.2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4.2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4.2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4.2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4.2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4.2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4.2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4.2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4.2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4.2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4.2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4.2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4.2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4.2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4.2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4.2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4.2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4.2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4.2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4.2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4.2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4.2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4.2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4.2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4.2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4.2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4.2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4.2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4.2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4.2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4.2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4.2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4.2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4.2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4.2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4.2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4.2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4.2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4.2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4.2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4.2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4.2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4.2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4.2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4.2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4.2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4.2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4.2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4.2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4.2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4.2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4.2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4.2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4.2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4.2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4.2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4.2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4.2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4.2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4.2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4.2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4.2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4.2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4.2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4.2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4.2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4.2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4.2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4.2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4.2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4.2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4.2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4.2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4.2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4.2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4.2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4.2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4.2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4.2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4.2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4.2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4.2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4.2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4.2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4.2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4.2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4.2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4.2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4.2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4.2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4.2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4.2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4.2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4.2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4.2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4.2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4.2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4.2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4.2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4.2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4.2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4.2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4.2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4.2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4.2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4.2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4.2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4.2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4.2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4.2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4.2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4.2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4.2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4.2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4.2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4.2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4.2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4.2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4.2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4.2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4.2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4.2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4.2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4.2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4.2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4.2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4.2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4.2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4.2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4.2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4.2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4.2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4.2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4.2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4.2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4.2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4.2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4.2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4.2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4.2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4.2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4.2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4.2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4.2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4.2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4.2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4.2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4.2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4.2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4.2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4.2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4.2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4.2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4.2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4.2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4.2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conditionalFormatting sqref="G5:G15">
    <cfRule type="expression" dxfId="0" priority="1">
      <formula>$G5="High"</formula>
    </cfRule>
  </conditionalFormatting>
  <conditionalFormatting sqref="G5:G15">
    <cfRule type="expression" dxfId="1" priority="2">
      <formula>$G5="Medium"</formula>
    </cfRule>
  </conditionalFormatting>
  <conditionalFormatting sqref="G5:G15">
    <cfRule type="expression" dxfId="2" priority="3">
      <formula>$G5="Low"</formula>
    </cfRule>
  </conditionalFormatting>
  <conditionalFormatting sqref="K5:K15">
    <cfRule type="expression" dxfId="3" priority="4">
      <formula>$K5="Luz"</formula>
    </cfRule>
  </conditionalFormatting>
  <conditionalFormatting sqref="K5:K15">
    <cfRule type="expression" dxfId="4" priority="5">
      <formula>$K5="Noa"</formula>
    </cfRule>
  </conditionalFormatting>
  <conditionalFormatting sqref="K5:K15">
    <cfRule type="expression" dxfId="5" priority="6">
      <formula>$K5="Ferran"</formula>
    </cfRule>
  </conditionalFormatting>
  <conditionalFormatting sqref="K5:K15">
    <cfRule type="expression" dxfId="6" priority="7">
      <formula>$K5="Leyre"</formula>
    </cfRule>
  </conditionalFormatting>
  <dataValidations>
    <dataValidation type="decimal" allowBlank="1" sqref="D5:E15">
      <formula1>1.0</formula1>
      <formula2>3.0</formula2>
    </dataValidation>
    <dataValidation type="list" allowBlank="1" sqref="L5:L15">
      <formula1>"Open,Monitoring,Occurred,Closed"</formula1>
    </dataValidation>
  </dataValidations>
  <printOptions/>
  <pageMargins bottom="1.0" footer="0.0" header="0.0" left="0.4" right="0.4" top="1.0"/>
  <pageSetup fitToHeight="0" paperSize="9" orientation="landscape"/>
  <drawing r:id="rId1"/>
</worksheet>
</file>